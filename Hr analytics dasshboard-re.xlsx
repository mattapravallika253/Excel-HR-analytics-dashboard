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550079a2595ecb44/Desktop/EXCEL/"/>
    </mc:Choice>
  </mc:AlternateContent>
  <xr:revisionPtr revIDLastSave="644" documentId="8_{915C3E83-34CE-4E32-859B-FBB6DFB5B5F2}" xr6:coauthVersionLast="47" xr6:coauthVersionMax="47" xr10:uidLastSave="{DE6794E3-9853-4DDD-8518-820328124821}"/>
  <bookViews>
    <workbookView xWindow="-108" yWindow="-108" windowWidth="23256" windowHeight="12456" activeTab="1" xr2:uid="{4F586149-6CCA-40A0-9A17-9EFAB6D01AFC}"/>
  </bookViews>
  <sheets>
    <sheet name="HR analytics dashboard" sheetId="2" r:id="rId1"/>
    <sheet name="Sheet1" sheetId="1" r:id="rId2"/>
  </sheets>
  <definedNames>
    <definedName name="Slicer_Department">#N/A</definedName>
    <definedName name="Slicer_Gender">#N/A</definedName>
    <definedName name="Slicer_Performance">#N/A</definedName>
  </definedNames>
  <calcPr calcId="191029"/>
  <pivotCaches>
    <pivotCache cacheId="61" r:id="rId3"/>
    <pivotCache cacheId="4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2" l="1"/>
  <c r="E19" i="2"/>
  <c r="C19" i="2"/>
  <c r="A19" i="2"/>
  <c r="J2" i="2"/>
  <c r="L2" i="2" s="1"/>
  <c r="J3" i="2"/>
  <c r="J4" i="2"/>
  <c r="J5" i="2"/>
  <c r="L5" i="2" s="1"/>
  <c r="J6" i="2"/>
  <c r="J7" i="2"/>
  <c r="J8" i="2"/>
  <c r="J9" i="2"/>
  <c r="L9" i="2" s="1"/>
  <c r="J10" i="2"/>
  <c r="L10" i="2" s="1"/>
  <c r="J11" i="2"/>
  <c r="L11" i="2" s="1"/>
  <c r="J12" i="2"/>
  <c r="J13" i="2"/>
  <c r="K2" i="2"/>
  <c r="K3" i="2"/>
  <c r="K4" i="2"/>
  <c r="K5" i="2"/>
  <c r="K6" i="2"/>
  <c r="K7" i="2"/>
  <c r="K8" i="2"/>
  <c r="K9" i="2"/>
  <c r="K10" i="2"/>
  <c r="K11" i="2"/>
  <c r="K12" i="2"/>
  <c r="K13" i="2"/>
  <c r="L4" i="2" l="1"/>
  <c r="L3" i="2"/>
  <c r="L6" i="2"/>
  <c r="L13" i="2"/>
  <c r="L12" i="2"/>
  <c r="L8" i="2"/>
  <c r="L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841FF-4E16-4A42-9A8B-25E15C1E518F}" keepAlive="1" name="Query - HR analytics dashboard" description="Connection to the 'HR analytics dashboard' query in the workbook." type="5" refreshedVersion="8" background="1" saveData="1">
    <dbPr connection="Provider=Microsoft.Mashup.OleDb.1;Data Source=$Workbook$;Location=&quot;HR analytics dashboard&quot;;Extended Properties=&quot;&quot;" command="SELECT * FROM [HR analytics dashboard]"/>
  </connection>
</connections>
</file>

<file path=xl/sharedStrings.xml><?xml version="1.0" encoding="utf-8"?>
<sst xmlns="http://schemas.openxmlformats.org/spreadsheetml/2006/main" count="147" uniqueCount="51">
  <si>
    <t>EmpID</t>
  </si>
  <si>
    <t>Name</t>
  </si>
  <si>
    <t>Department</t>
  </si>
  <si>
    <t>Gender</t>
  </si>
  <si>
    <t>Age</t>
  </si>
  <si>
    <t>Salary</t>
  </si>
  <si>
    <t>Experience</t>
  </si>
  <si>
    <t>Performance</t>
  </si>
  <si>
    <t>Attrition</t>
  </si>
  <si>
    <t>Amit</t>
  </si>
  <si>
    <t>Sales</t>
  </si>
  <si>
    <t>Male</t>
  </si>
  <si>
    <t>Good</t>
  </si>
  <si>
    <t>No</t>
  </si>
  <si>
    <t>Neha</t>
  </si>
  <si>
    <t>HR</t>
  </si>
  <si>
    <t>Female</t>
  </si>
  <si>
    <t>Excellent</t>
  </si>
  <si>
    <t>Ravi</t>
  </si>
  <si>
    <t>IT</t>
  </si>
  <si>
    <t>Average</t>
  </si>
  <si>
    <t>Yes</t>
  </si>
  <si>
    <t>Pooja</t>
  </si>
  <si>
    <t>Finance</t>
  </si>
  <si>
    <t>Karan</t>
  </si>
  <si>
    <t>Anita</t>
  </si>
  <si>
    <t>Rohit</t>
  </si>
  <si>
    <t>Sneha</t>
  </si>
  <si>
    <t>Arjun</t>
  </si>
  <si>
    <t>Kavya</t>
  </si>
  <si>
    <t>Vikas</t>
  </si>
  <si>
    <t>Meera</t>
  </si>
  <si>
    <t>Row Labels</t>
  </si>
  <si>
    <t>Grand Total</t>
  </si>
  <si>
    <t>Count of Name</t>
  </si>
  <si>
    <t>Average of Salary</t>
  </si>
  <si>
    <t>Count of Attrition</t>
  </si>
  <si>
    <t>countif</t>
  </si>
  <si>
    <t>count employess</t>
  </si>
  <si>
    <t>attrition rate%</t>
  </si>
  <si>
    <t>Average of countif</t>
  </si>
  <si>
    <t>Average of attrition rate%</t>
  </si>
  <si>
    <t>Attribution by department</t>
  </si>
  <si>
    <t>Count of Gender</t>
  </si>
  <si>
    <t>Average Salary by department</t>
  </si>
  <si>
    <t>performance distribution</t>
  </si>
  <si>
    <t>Count of Performance</t>
  </si>
  <si>
    <t>attrition by department</t>
  </si>
  <si>
    <t>Attrition by performance</t>
  </si>
  <si>
    <t>Column Labels</t>
  </si>
  <si>
    <t>Count of EmpID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</si>
</sst>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2" applyFont="1"/>
    <xf numFmtId="0" fontId="0" fillId="3" borderId="1" xfId="0" applyNumberFormat="1" applyFont="1" applyFill="1" applyBorder="1"/>
    <xf numFmtId="0" fontId="0" fillId="3" borderId="1" xfId="0" applyFont="1" applyFill="1" applyBorder="1"/>
    <xf numFmtId="0" fontId="0" fillId="0" borderId="1" xfId="0" applyNumberFormat="1" applyFont="1" applyBorder="1"/>
    <xf numFmtId="0" fontId="0" fillId="0" borderId="1" xfId="0" applyFont="1" applyBorder="1"/>
    <xf numFmtId="9" fontId="0" fillId="3" borderId="1" xfId="2" applyNumberFormat="1" applyFont="1" applyFill="1" applyBorder="1"/>
    <xf numFmtId="9" fontId="0" fillId="0" borderId="1" xfId="2" applyNumberFormat="1" applyFont="1" applyBorder="1"/>
    <xf numFmtId="0" fontId="2" fillId="2" borderId="0" xfId="0" applyFont="1" applyFill="1" applyBorder="1"/>
    <xf numFmtId="9" fontId="0" fillId="0" borderId="0" xfId="0" applyNumberFormat="1"/>
    <xf numFmtId="165" fontId="0" fillId="0" borderId="0" xfId="0" applyNumberFormat="1"/>
    <xf numFmtId="165" fontId="0" fillId="0" borderId="0" xfId="1" applyNumberFormat="1" applyFont="1"/>
  </cellXfs>
  <cellStyles count="3">
    <cellStyle name="Comma" xfId="1" builtinId="3"/>
    <cellStyle name="Normal" xfId="0" builtinId="0"/>
    <cellStyle name="Percent" xfId="2" builtinId="5"/>
  </cellStyles>
  <dxfs count="15">
    <dxf>
      <numFmt numFmtId="165" formatCode="_ * #,##0_ ;_ * \-#,##0_ ;_ * &quot;-&quot;??_ ;_ @_ "/>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b val="0"/>
        <i val="0"/>
        <strike val="0"/>
        <condense val="0"/>
        <extend val="0"/>
        <outline val="0"/>
        <shadow val="0"/>
        <u val="none"/>
        <vertAlign val="baseline"/>
        <sz val="11"/>
        <color theme="1"/>
        <name val="Aptos Narrow"/>
        <family val="2"/>
        <scheme val="minor"/>
      </font>
      <numFmt numFmtId="13" formatCode="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dasshboard-re.xlsx]HR analytics dashboard!PivotTable22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analytics dashboard'!$B$22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'HR analytics dashboard'!$A$23:$A$27</c:f>
              <c:strCache>
                <c:ptCount val="4"/>
                <c:pt idx="0">
                  <c:v>Finance</c:v>
                </c:pt>
                <c:pt idx="1">
                  <c:v>HR</c:v>
                </c:pt>
                <c:pt idx="2">
                  <c:v>IT</c:v>
                </c:pt>
                <c:pt idx="3">
                  <c:v>Sales</c:v>
                </c:pt>
              </c:strCache>
            </c:strRef>
          </c:cat>
          <c:val>
            <c:numRef>
              <c:f>'HR analytics dashboard'!$B$23:$B$27</c:f>
              <c:numCache>
                <c:formatCode>General</c:formatCode>
                <c:ptCount val="4"/>
                <c:pt idx="0">
                  <c:v>3</c:v>
                </c:pt>
                <c:pt idx="1">
                  <c:v>3</c:v>
                </c:pt>
                <c:pt idx="2">
                  <c:v>3</c:v>
                </c:pt>
                <c:pt idx="3">
                  <c:v>3</c:v>
                </c:pt>
              </c:numCache>
            </c:numRef>
          </c:val>
          <c:extLst>
            <c:ext xmlns:c16="http://schemas.microsoft.com/office/drawing/2014/chart" uri="{C3380CC4-5D6E-409C-BE32-E72D297353CC}">
              <c16:uniqueId val="{00000000-7AD4-4307-990E-ECFDE90F137A}"/>
            </c:ext>
          </c:extLst>
        </c:ser>
        <c:dLbls>
          <c:dLblPos val="inEnd"/>
          <c:showLegendKey val="0"/>
          <c:showVal val="1"/>
          <c:showCatName val="0"/>
          <c:showSerName val="0"/>
          <c:showPercent val="0"/>
          <c:showBubbleSize val="0"/>
        </c:dLbls>
        <c:gapWidth val="100"/>
        <c:overlap val="-24"/>
        <c:axId val="1354512671"/>
        <c:axId val="1354521791"/>
      </c:barChart>
      <c:catAx>
        <c:axId val="13545126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4521791"/>
        <c:crosses val="autoZero"/>
        <c:auto val="1"/>
        <c:lblAlgn val="ctr"/>
        <c:lblOffset val="100"/>
        <c:noMultiLvlLbl val="0"/>
      </c:catAx>
      <c:valAx>
        <c:axId val="1354521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451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dasshboard-re.xlsx]HR analytics dashboard!PivotTable25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pieChart>
        <c:varyColors val="1"/>
        <c:ser>
          <c:idx val="0"/>
          <c:order val="0"/>
          <c:tx>
            <c:strRef>
              <c:f>'HR analytics dashboard'!$H$30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58A-4265-8D21-2918B801EA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58A-4265-8D21-2918B801EA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'HR analytics dashboard'!$G$31:$G$33</c:f>
              <c:strCache>
                <c:ptCount val="2"/>
                <c:pt idx="0">
                  <c:v>Female</c:v>
                </c:pt>
                <c:pt idx="1">
                  <c:v>Male</c:v>
                </c:pt>
              </c:strCache>
            </c:strRef>
          </c:cat>
          <c:val>
            <c:numRef>
              <c:f>'HR analytics dashboard'!$H$31:$H$33</c:f>
              <c:numCache>
                <c:formatCode>General</c:formatCode>
                <c:ptCount val="2"/>
                <c:pt idx="0">
                  <c:v>6</c:v>
                </c:pt>
                <c:pt idx="1">
                  <c:v>6</c:v>
                </c:pt>
              </c:numCache>
            </c:numRef>
          </c:val>
          <c:extLst>
            <c:ext xmlns:c16="http://schemas.microsoft.com/office/drawing/2014/chart" uri="{C3380CC4-5D6E-409C-BE32-E72D297353CC}">
              <c16:uniqueId val="{00000004-B58A-4265-8D21-2918B801EA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dasshboard-re.xlsx]HR analytics dashboard!PivotTable26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accent5">
                    <a:lumMod val="75000"/>
                  </a:schemeClr>
                </a:solidFill>
              </a:rPr>
              <a:t>Average Salary by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analytics dashboard'!$M$29</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analytics dashboard'!$L$30:$L$34</c:f>
              <c:strCache>
                <c:ptCount val="4"/>
                <c:pt idx="0">
                  <c:v>Finance</c:v>
                </c:pt>
                <c:pt idx="1">
                  <c:v>HR</c:v>
                </c:pt>
                <c:pt idx="2">
                  <c:v>IT</c:v>
                </c:pt>
                <c:pt idx="3">
                  <c:v>Sales</c:v>
                </c:pt>
              </c:strCache>
            </c:strRef>
          </c:cat>
          <c:val>
            <c:numRef>
              <c:f>'HR analytics dashboard'!$M$30:$M$34</c:f>
              <c:numCache>
                <c:formatCode>General</c:formatCode>
                <c:ptCount val="4"/>
                <c:pt idx="0">
                  <c:v>50000</c:v>
                </c:pt>
                <c:pt idx="1">
                  <c:v>41333.333333333336</c:v>
                </c:pt>
                <c:pt idx="2">
                  <c:v>42000</c:v>
                </c:pt>
                <c:pt idx="3">
                  <c:v>42666.666666666664</c:v>
                </c:pt>
              </c:numCache>
            </c:numRef>
          </c:val>
          <c:extLst>
            <c:ext xmlns:c16="http://schemas.microsoft.com/office/drawing/2014/chart" uri="{C3380CC4-5D6E-409C-BE32-E72D297353CC}">
              <c16:uniqueId val="{00000000-B9A4-4C27-B600-5BE91B3C702F}"/>
            </c:ext>
          </c:extLst>
        </c:ser>
        <c:dLbls>
          <c:showLegendKey val="0"/>
          <c:showVal val="0"/>
          <c:showCatName val="0"/>
          <c:showSerName val="0"/>
          <c:showPercent val="0"/>
          <c:showBubbleSize val="0"/>
        </c:dLbls>
        <c:gapWidth val="219"/>
        <c:overlap val="-27"/>
        <c:axId val="1444701487"/>
        <c:axId val="1444703407"/>
      </c:barChart>
      <c:catAx>
        <c:axId val="144470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03407"/>
        <c:crosses val="autoZero"/>
        <c:auto val="1"/>
        <c:lblAlgn val="ctr"/>
        <c:lblOffset val="100"/>
        <c:noMultiLvlLbl val="0"/>
      </c:catAx>
      <c:valAx>
        <c:axId val="1444703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0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dasshboard-re.xlsx]HR analytics dashboard!PivotTable27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'HR analytics dashboard'!$B$33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7B-449C-8752-A1AFF5DA8C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7B-449C-8752-A1AFF5DA8C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7B-449C-8752-A1AFF5DA8C7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'HR analytics dashboard'!$A$34:$A$37</c:f>
              <c:strCache>
                <c:ptCount val="3"/>
                <c:pt idx="0">
                  <c:v>Average</c:v>
                </c:pt>
                <c:pt idx="1">
                  <c:v>Excellent</c:v>
                </c:pt>
                <c:pt idx="2">
                  <c:v>Good</c:v>
                </c:pt>
              </c:strCache>
            </c:strRef>
          </c:cat>
          <c:val>
            <c:numRef>
              <c:f>'HR analytics dashboard'!$B$34:$B$37</c:f>
              <c:numCache>
                <c:formatCode>General</c:formatCode>
                <c:ptCount val="3"/>
                <c:pt idx="0">
                  <c:v>3</c:v>
                </c:pt>
                <c:pt idx="1">
                  <c:v>4</c:v>
                </c:pt>
                <c:pt idx="2">
                  <c:v>5</c:v>
                </c:pt>
              </c:numCache>
            </c:numRef>
          </c:val>
          <c:extLst>
            <c:ext xmlns:c16="http://schemas.microsoft.com/office/drawing/2014/chart" uri="{C3380CC4-5D6E-409C-BE32-E72D297353CC}">
              <c16:uniqueId val="{00000000-3E8B-4F39-BC10-7A5424A61C8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dasshboard-re.xlsx]HR analytics dashboard!PivotTable28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analytics dashboard'!$E$32</c:f>
              <c:strCache>
                <c:ptCount val="1"/>
                <c:pt idx="0">
                  <c:v>Total</c:v>
                </c:pt>
              </c:strCache>
            </c:strRef>
          </c:tx>
          <c:spPr>
            <a:solidFill>
              <a:schemeClr val="accent1"/>
            </a:solidFill>
            <a:ln>
              <a:noFill/>
            </a:ln>
            <a:effectLst/>
          </c:spPr>
          <c:invertIfNegative val="0"/>
          <c:cat>
            <c:strRef>
              <c:f>'HR analytics dashboard'!$D$33:$D$36</c:f>
              <c:strCache>
                <c:ptCount val="3"/>
                <c:pt idx="0">
                  <c:v>HR</c:v>
                </c:pt>
                <c:pt idx="1">
                  <c:v>IT</c:v>
                </c:pt>
                <c:pt idx="2">
                  <c:v>Sales</c:v>
                </c:pt>
              </c:strCache>
            </c:strRef>
          </c:cat>
          <c:val>
            <c:numRef>
              <c:f>'HR analytics dashboard'!$E$33:$E$36</c:f>
              <c:numCache>
                <c:formatCode>General</c:formatCode>
                <c:ptCount val="3"/>
                <c:pt idx="0">
                  <c:v>2</c:v>
                </c:pt>
                <c:pt idx="1">
                  <c:v>1</c:v>
                </c:pt>
                <c:pt idx="2">
                  <c:v>1</c:v>
                </c:pt>
              </c:numCache>
            </c:numRef>
          </c:val>
          <c:extLst>
            <c:ext xmlns:c16="http://schemas.microsoft.com/office/drawing/2014/chart" uri="{C3380CC4-5D6E-409C-BE32-E72D297353CC}">
              <c16:uniqueId val="{00000000-9AF5-4D5A-815E-B38686F66EE9}"/>
            </c:ext>
          </c:extLst>
        </c:ser>
        <c:dLbls>
          <c:showLegendKey val="0"/>
          <c:showVal val="0"/>
          <c:showCatName val="0"/>
          <c:showSerName val="0"/>
          <c:showPercent val="0"/>
          <c:showBubbleSize val="0"/>
        </c:dLbls>
        <c:gapWidth val="219"/>
        <c:overlap val="-27"/>
        <c:axId val="1473592415"/>
        <c:axId val="1473583295"/>
      </c:barChart>
      <c:catAx>
        <c:axId val="147359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583295"/>
        <c:crosses val="autoZero"/>
        <c:auto val="1"/>
        <c:lblAlgn val="ctr"/>
        <c:lblOffset val="100"/>
        <c:noMultiLvlLbl val="0"/>
      </c:catAx>
      <c:valAx>
        <c:axId val="147358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59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dasshboard-re.xlsx]HR analytics dashboard!PivotTable29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
            </a:r>
            <a:r>
              <a:rPr lang="en-IN">
                <a:solidFill>
                  <a:schemeClr val="accent5"/>
                </a:solidFill>
              </a:rPr>
              <a:t>Attrition</a:t>
            </a:r>
            <a:r>
              <a:rPr lang="en-IN" baseline="0">
                <a:solidFill>
                  <a:schemeClr val="accent5"/>
                </a:solidFill>
              </a:rPr>
              <a:t> by Performance</a:t>
            </a:r>
            <a:endParaRPr lang="en-IN">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analytics dashboard'!$E$40:$E$41</c:f>
              <c:strCache>
                <c:ptCount val="1"/>
                <c:pt idx="0">
                  <c:v>No</c:v>
                </c:pt>
              </c:strCache>
            </c:strRef>
          </c:tx>
          <c:spPr>
            <a:solidFill>
              <a:schemeClr val="accent1"/>
            </a:solidFill>
            <a:ln>
              <a:noFill/>
            </a:ln>
            <a:effectLst/>
          </c:spPr>
          <c:invertIfNegative val="0"/>
          <c:cat>
            <c:strRef>
              <c:f>'HR analytics dashboard'!$D$42:$D$45</c:f>
              <c:strCache>
                <c:ptCount val="3"/>
                <c:pt idx="0">
                  <c:v>Average</c:v>
                </c:pt>
                <c:pt idx="1">
                  <c:v>Excellent</c:v>
                </c:pt>
                <c:pt idx="2">
                  <c:v>Good</c:v>
                </c:pt>
              </c:strCache>
            </c:strRef>
          </c:cat>
          <c:val>
            <c:numRef>
              <c:f>'HR analytics dashboard'!$E$42:$E$45</c:f>
              <c:numCache>
                <c:formatCode>General</c:formatCode>
                <c:ptCount val="3"/>
                <c:pt idx="1">
                  <c:v>4</c:v>
                </c:pt>
                <c:pt idx="2">
                  <c:v>4</c:v>
                </c:pt>
              </c:numCache>
            </c:numRef>
          </c:val>
          <c:extLst>
            <c:ext xmlns:c16="http://schemas.microsoft.com/office/drawing/2014/chart" uri="{C3380CC4-5D6E-409C-BE32-E72D297353CC}">
              <c16:uniqueId val="{00000000-1947-434C-BA90-461A906E231D}"/>
            </c:ext>
          </c:extLst>
        </c:ser>
        <c:ser>
          <c:idx val="1"/>
          <c:order val="1"/>
          <c:tx>
            <c:strRef>
              <c:f>'HR analytics dashboard'!$F$40:$F$41</c:f>
              <c:strCache>
                <c:ptCount val="1"/>
                <c:pt idx="0">
                  <c:v>Yes</c:v>
                </c:pt>
              </c:strCache>
            </c:strRef>
          </c:tx>
          <c:spPr>
            <a:solidFill>
              <a:schemeClr val="accent2"/>
            </a:solidFill>
            <a:ln>
              <a:noFill/>
            </a:ln>
            <a:effectLst/>
          </c:spPr>
          <c:invertIfNegative val="0"/>
          <c:cat>
            <c:strRef>
              <c:f>'HR analytics dashboard'!$D$42:$D$45</c:f>
              <c:strCache>
                <c:ptCount val="3"/>
                <c:pt idx="0">
                  <c:v>Average</c:v>
                </c:pt>
                <c:pt idx="1">
                  <c:v>Excellent</c:v>
                </c:pt>
                <c:pt idx="2">
                  <c:v>Good</c:v>
                </c:pt>
              </c:strCache>
            </c:strRef>
          </c:cat>
          <c:val>
            <c:numRef>
              <c:f>'HR analytics dashboard'!$F$42:$F$45</c:f>
              <c:numCache>
                <c:formatCode>General</c:formatCode>
                <c:ptCount val="3"/>
                <c:pt idx="0">
                  <c:v>3</c:v>
                </c:pt>
                <c:pt idx="2">
                  <c:v>1</c:v>
                </c:pt>
              </c:numCache>
            </c:numRef>
          </c:val>
          <c:extLst>
            <c:ext xmlns:c16="http://schemas.microsoft.com/office/drawing/2014/chart" uri="{C3380CC4-5D6E-409C-BE32-E72D297353CC}">
              <c16:uniqueId val="{00000008-1947-434C-BA90-461A906E231D}"/>
            </c:ext>
          </c:extLst>
        </c:ser>
        <c:dLbls>
          <c:showLegendKey val="0"/>
          <c:showVal val="0"/>
          <c:showCatName val="0"/>
          <c:showSerName val="0"/>
          <c:showPercent val="0"/>
          <c:showBubbleSize val="0"/>
        </c:dLbls>
        <c:gapWidth val="219"/>
        <c:overlap val="-27"/>
        <c:axId val="771789119"/>
        <c:axId val="771788159"/>
      </c:barChart>
      <c:catAx>
        <c:axId val="77178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88159"/>
        <c:crosses val="autoZero"/>
        <c:auto val="1"/>
        <c:lblAlgn val="ctr"/>
        <c:lblOffset val="100"/>
        <c:noMultiLvlLbl val="0"/>
      </c:catAx>
      <c:valAx>
        <c:axId val="77178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175260</xdr:rowOff>
    </xdr:from>
    <xdr:to>
      <xdr:col>17</xdr:col>
      <xdr:colOff>434340</xdr:colOff>
      <xdr:row>4</xdr:row>
      <xdr:rowOff>167640</xdr:rowOff>
    </xdr:to>
    <xdr:sp macro="" textlink="">
      <xdr:nvSpPr>
        <xdr:cNvPr id="7" name="Rectangle: Rounded Corners 6">
          <a:extLst>
            <a:ext uri="{FF2B5EF4-FFF2-40B4-BE49-F238E27FC236}">
              <a16:creationId xmlns:a16="http://schemas.microsoft.com/office/drawing/2014/main" id="{F3639F50-CDC3-1E02-EF34-10395033F399}"/>
            </a:ext>
          </a:extLst>
        </xdr:cNvPr>
        <xdr:cNvSpPr/>
      </xdr:nvSpPr>
      <xdr:spPr>
        <a:xfrm>
          <a:off x="3657600" y="175260"/>
          <a:ext cx="713994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1</xdr:row>
      <xdr:rowOff>0</xdr:rowOff>
    </xdr:from>
    <xdr:to>
      <xdr:col>18</xdr:col>
      <xdr:colOff>0</xdr:colOff>
      <xdr:row>5</xdr:row>
      <xdr:rowOff>0</xdr:rowOff>
    </xdr:to>
    <xdr:sp macro="" textlink="">
      <xdr:nvSpPr>
        <xdr:cNvPr id="6" name="Rectangle: Rounded Corners 5">
          <a:extLst>
            <a:ext uri="{FF2B5EF4-FFF2-40B4-BE49-F238E27FC236}">
              <a16:creationId xmlns:a16="http://schemas.microsoft.com/office/drawing/2014/main" id="{2FE460D8-A524-B903-C3DE-D1388FC5D213}"/>
            </a:ext>
          </a:extLst>
        </xdr:cNvPr>
        <xdr:cNvSpPr/>
      </xdr:nvSpPr>
      <xdr:spPr>
        <a:xfrm>
          <a:off x="3657600" y="182880"/>
          <a:ext cx="731520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22</xdr:col>
      <xdr:colOff>0</xdr:colOff>
      <xdr:row>41</xdr:row>
      <xdr:rowOff>0</xdr:rowOff>
    </xdr:to>
    <xdr:sp macro="" textlink="">
      <xdr:nvSpPr>
        <xdr:cNvPr id="2" name="Rectangle: Rounded Corners 1">
          <a:extLst>
            <a:ext uri="{FF2B5EF4-FFF2-40B4-BE49-F238E27FC236}">
              <a16:creationId xmlns:a16="http://schemas.microsoft.com/office/drawing/2014/main" id="{1C8AF0A2-2711-CA5E-74D7-4A4703062120}"/>
            </a:ext>
          </a:extLst>
        </xdr:cNvPr>
        <xdr:cNvSpPr/>
      </xdr:nvSpPr>
      <xdr:spPr>
        <a:xfrm>
          <a:off x="0" y="0"/>
          <a:ext cx="13411200" cy="74980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0</xdr:row>
      <xdr:rowOff>0</xdr:rowOff>
    </xdr:from>
    <xdr:to>
      <xdr:col>22</xdr:col>
      <xdr:colOff>0</xdr:colOff>
      <xdr:row>41</xdr:row>
      <xdr:rowOff>0</xdr:rowOff>
    </xdr:to>
    <xdr:sp macro="" textlink="">
      <xdr:nvSpPr>
        <xdr:cNvPr id="3" name="Rectangle: Rounded Corners 2">
          <a:extLst>
            <a:ext uri="{FF2B5EF4-FFF2-40B4-BE49-F238E27FC236}">
              <a16:creationId xmlns:a16="http://schemas.microsoft.com/office/drawing/2014/main" id="{352D0A33-BAD8-62AF-F8FD-2CDDC7D5377A}"/>
            </a:ext>
          </a:extLst>
        </xdr:cNvPr>
        <xdr:cNvSpPr/>
      </xdr:nvSpPr>
      <xdr:spPr>
        <a:xfrm>
          <a:off x="1828800" y="0"/>
          <a:ext cx="11582400" cy="749808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434340</xdr:colOff>
      <xdr:row>0</xdr:row>
      <xdr:rowOff>167640</xdr:rowOff>
    </xdr:from>
    <xdr:to>
      <xdr:col>17</xdr:col>
      <xdr:colOff>434340</xdr:colOff>
      <xdr:row>4</xdr:row>
      <xdr:rowOff>167640</xdr:rowOff>
    </xdr:to>
    <xdr:sp macro="" textlink="">
      <xdr:nvSpPr>
        <xdr:cNvPr id="5" name="TextBox 4">
          <a:extLst>
            <a:ext uri="{FF2B5EF4-FFF2-40B4-BE49-F238E27FC236}">
              <a16:creationId xmlns:a16="http://schemas.microsoft.com/office/drawing/2014/main" id="{B7DEDB04-C486-F650-9864-032CE4FB4060}"/>
            </a:ext>
          </a:extLst>
        </xdr:cNvPr>
        <xdr:cNvSpPr txBox="1"/>
      </xdr:nvSpPr>
      <xdr:spPr>
        <a:xfrm>
          <a:off x="3482340" y="167640"/>
          <a:ext cx="7315200" cy="73152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4000">
              <a:solidFill>
                <a:schemeClr val="accent1">
                  <a:lumMod val="75000"/>
                </a:schemeClr>
              </a:solidFill>
            </a:rPr>
            <a:t>HR</a:t>
          </a:r>
          <a:r>
            <a:rPr lang="en-IN" sz="4000" baseline="0">
              <a:solidFill>
                <a:schemeClr val="accent1">
                  <a:lumMod val="75000"/>
                </a:schemeClr>
              </a:solidFill>
            </a:rPr>
            <a:t> ANALYTICS DASHBOARD</a:t>
          </a:r>
          <a:endParaRPr lang="en-IN" sz="1100">
            <a:solidFill>
              <a:schemeClr val="accent1">
                <a:lumMod val="75000"/>
              </a:schemeClr>
            </a:solidFill>
          </a:endParaRPr>
        </a:p>
      </xdr:txBody>
    </xdr:sp>
    <xdr:clientData/>
  </xdr:twoCellAnchor>
  <xdr:twoCellAnchor>
    <xdr:from>
      <xdr:col>3</xdr:col>
      <xdr:colOff>220980</xdr:colOff>
      <xdr:row>7</xdr:row>
      <xdr:rowOff>0</xdr:rowOff>
    </xdr:from>
    <xdr:to>
      <xdr:col>7</xdr:col>
      <xdr:colOff>220980</xdr:colOff>
      <xdr:row>11</xdr:row>
      <xdr:rowOff>0</xdr:rowOff>
    </xdr:to>
    <xdr:sp macro="" textlink="">
      <xdr:nvSpPr>
        <xdr:cNvPr id="8" name="Rectangle: Rounded Corners 7">
          <a:extLst>
            <a:ext uri="{FF2B5EF4-FFF2-40B4-BE49-F238E27FC236}">
              <a16:creationId xmlns:a16="http://schemas.microsoft.com/office/drawing/2014/main" id="{FE6C274A-B375-0149-B51C-785FEC59ADE5}"/>
            </a:ext>
          </a:extLst>
        </xdr:cNvPr>
        <xdr:cNvSpPr/>
      </xdr:nvSpPr>
      <xdr:spPr>
        <a:xfrm>
          <a:off x="2049780" y="1280160"/>
          <a:ext cx="2438400" cy="7315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472440</xdr:colOff>
      <xdr:row>6</xdr:row>
      <xdr:rowOff>175260</xdr:rowOff>
    </xdr:from>
    <xdr:to>
      <xdr:col>11</xdr:col>
      <xdr:colOff>472440</xdr:colOff>
      <xdr:row>10</xdr:row>
      <xdr:rowOff>175260</xdr:rowOff>
    </xdr:to>
    <xdr:sp macro="" textlink="">
      <xdr:nvSpPr>
        <xdr:cNvPr id="9" name="Rectangle: Rounded Corners 8">
          <a:extLst>
            <a:ext uri="{FF2B5EF4-FFF2-40B4-BE49-F238E27FC236}">
              <a16:creationId xmlns:a16="http://schemas.microsoft.com/office/drawing/2014/main" id="{714517E8-594A-444C-A4FB-3916288801AD}"/>
            </a:ext>
          </a:extLst>
        </xdr:cNvPr>
        <xdr:cNvSpPr/>
      </xdr:nvSpPr>
      <xdr:spPr>
        <a:xfrm>
          <a:off x="4739640" y="1272540"/>
          <a:ext cx="2438400" cy="7315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xdr:colOff>
      <xdr:row>7</xdr:row>
      <xdr:rowOff>0</xdr:rowOff>
    </xdr:from>
    <xdr:to>
      <xdr:col>16</xdr:col>
      <xdr:colOff>7620</xdr:colOff>
      <xdr:row>11</xdr:row>
      <xdr:rowOff>0</xdr:rowOff>
    </xdr:to>
    <xdr:sp macro="" textlink="">
      <xdr:nvSpPr>
        <xdr:cNvPr id="10" name="Rectangle: Rounded Corners 9">
          <a:extLst>
            <a:ext uri="{FF2B5EF4-FFF2-40B4-BE49-F238E27FC236}">
              <a16:creationId xmlns:a16="http://schemas.microsoft.com/office/drawing/2014/main" id="{18AF8808-7A72-4BAE-8E8A-763A790262C7}"/>
            </a:ext>
          </a:extLst>
        </xdr:cNvPr>
        <xdr:cNvSpPr/>
      </xdr:nvSpPr>
      <xdr:spPr>
        <a:xfrm>
          <a:off x="7322820" y="1280160"/>
          <a:ext cx="2438400" cy="7315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6</xdr:row>
      <xdr:rowOff>175260</xdr:rowOff>
    </xdr:from>
    <xdr:to>
      <xdr:col>21</xdr:col>
      <xdr:colOff>0</xdr:colOff>
      <xdr:row>10</xdr:row>
      <xdr:rowOff>175260</xdr:rowOff>
    </xdr:to>
    <xdr:sp macro="" textlink="">
      <xdr:nvSpPr>
        <xdr:cNvPr id="11" name="Rectangle: Rounded Corners 10">
          <a:extLst>
            <a:ext uri="{FF2B5EF4-FFF2-40B4-BE49-F238E27FC236}">
              <a16:creationId xmlns:a16="http://schemas.microsoft.com/office/drawing/2014/main" id="{9C02405D-1204-4BC3-9A9F-6152AF12E763}"/>
            </a:ext>
          </a:extLst>
        </xdr:cNvPr>
        <xdr:cNvSpPr/>
      </xdr:nvSpPr>
      <xdr:spPr>
        <a:xfrm>
          <a:off x="10363200" y="1272540"/>
          <a:ext cx="2438400" cy="73152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205740</xdr:colOff>
      <xdr:row>7</xdr:row>
      <xdr:rowOff>0</xdr:rowOff>
    </xdr:from>
    <xdr:to>
      <xdr:col>7</xdr:col>
      <xdr:colOff>205740</xdr:colOff>
      <xdr:row>11</xdr:row>
      <xdr:rowOff>0</xdr:rowOff>
    </xdr:to>
    <xdr:sp macro="" textlink="'HR analytics dashboard'!A19">
      <xdr:nvSpPr>
        <xdr:cNvPr id="12" name="Rectangle: Rounded Corners 11">
          <a:extLst>
            <a:ext uri="{FF2B5EF4-FFF2-40B4-BE49-F238E27FC236}">
              <a16:creationId xmlns:a16="http://schemas.microsoft.com/office/drawing/2014/main" id="{3BCFCEEC-F377-ADB1-E867-AECE53763430}"/>
            </a:ext>
          </a:extLst>
        </xdr:cNvPr>
        <xdr:cNvSpPr/>
      </xdr:nvSpPr>
      <xdr:spPr>
        <a:xfrm>
          <a:off x="2644140" y="1280160"/>
          <a:ext cx="1828800" cy="7315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D7B6F6-1E8E-4A36-AEFA-FB6A067316EB}" type="TxLink">
            <a:rPr lang="en-US" sz="1100" b="0" i="0" u="none" strike="noStrike">
              <a:solidFill>
                <a:srgbClr val="000000"/>
              </a:solidFill>
              <a:latin typeface="Aptos Narrow"/>
            </a:rPr>
            <a:t>12</a:t>
          </a:fld>
          <a:endParaRPr lang="en-IN" sz="1100"/>
        </a:p>
      </xdr:txBody>
    </xdr:sp>
    <xdr:clientData/>
  </xdr:twoCellAnchor>
  <xdr:twoCellAnchor>
    <xdr:from>
      <xdr:col>8</xdr:col>
      <xdr:colOff>251460</xdr:colOff>
      <xdr:row>6</xdr:row>
      <xdr:rowOff>175260</xdr:rowOff>
    </xdr:from>
    <xdr:to>
      <xdr:col>11</xdr:col>
      <xdr:colOff>472440</xdr:colOff>
      <xdr:row>10</xdr:row>
      <xdr:rowOff>167640</xdr:rowOff>
    </xdr:to>
    <xdr:sp macro="" textlink="">
      <xdr:nvSpPr>
        <xdr:cNvPr id="13" name="Rectangle: Rounded Corners 12">
          <a:extLst>
            <a:ext uri="{FF2B5EF4-FFF2-40B4-BE49-F238E27FC236}">
              <a16:creationId xmlns:a16="http://schemas.microsoft.com/office/drawing/2014/main" id="{82014DEC-8CBE-48D1-875E-1E688776AC8A}"/>
            </a:ext>
          </a:extLst>
        </xdr:cNvPr>
        <xdr:cNvSpPr/>
      </xdr:nvSpPr>
      <xdr:spPr>
        <a:xfrm>
          <a:off x="5128260" y="1272540"/>
          <a:ext cx="2049780" cy="7239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38100</xdr:colOff>
      <xdr:row>7</xdr:row>
      <xdr:rowOff>0</xdr:rowOff>
    </xdr:from>
    <xdr:to>
      <xdr:col>15</xdr:col>
      <xdr:colOff>601980</xdr:colOff>
      <xdr:row>10</xdr:row>
      <xdr:rowOff>175260</xdr:rowOff>
    </xdr:to>
    <xdr:sp macro="" textlink="">
      <xdr:nvSpPr>
        <xdr:cNvPr id="14" name="Rectangle: Rounded Corners 13">
          <a:extLst>
            <a:ext uri="{FF2B5EF4-FFF2-40B4-BE49-F238E27FC236}">
              <a16:creationId xmlns:a16="http://schemas.microsoft.com/office/drawing/2014/main" id="{EC24B2B9-6FF6-45C6-9868-4CEA68F71C13}"/>
            </a:ext>
          </a:extLst>
        </xdr:cNvPr>
        <xdr:cNvSpPr/>
      </xdr:nvSpPr>
      <xdr:spPr>
        <a:xfrm>
          <a:off x="7962900" y="1280160"/>
          <a:ext cx="1783080" cy="7239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6</xdr:row>
      <xdr:rowOff>175260</xdr:rowOff>
    </xdr:from>
    <xdr:to>
      <xdr:col>21</xdr:col>
      <xdr:colOff>0</xdr:colOff>
      <xdr:row>10</xdr:row>
      <xdr:rowOff>167640</xdr:rowOff>
    </xdr:to>
    <xdr:sp macro="" textlink="">
      <xdr:nvSpPr>
        <xdr:cNvPr id="15" name="Rectangle: Rounded Corners 14">
          <a:extLst>
            <a:ext uri="{FF2B5EF4-FFF2-40B4-BE49-F238E27FC236}">
              <a16:creationId xmlns:a16="http://schemas.microsoft.com/office/drawing/2014/main" id="{725AE883-370C-432D-93AD-5981D4364384}"/>
            </a:ext>
          </a:extLst>
        </xdr:cNvPr>
        <xdr:cNvSpPr/>
      </xdr:nvSpPr>
      <xdr:spPr>
        <a:xfrm>
          <a:off x="10972800" y="1272540"/>
          <a:ext cx="1828800" cy="7239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304800</xdr:colOff>
      <xdr:row>7</xdr:row>
      <xdr:rowOff>7620</xdr:rowOff>
    </xdr:from>
    <xdr:to>
      <xdr:col>7</xdr:col>
      <xdr:colOff>0</xdr:colOff>
      <xdr:row>9</xdr:row>
      <xdr:rowOff>7620</xdr:rowOff>
    </xdr:to>
    <xdr:sp macro="" textlink="">
      <xdr:nvSpPr>
        <xdr:cNvPr id="16" name="TextBox 15">
          <a:extLst>
            <a:ext uri="{FF2B5EF4-FFF2-40B4-BE49-F238E27FC236}">
              <a16:creationId xmlns:a16="http://schemas.microsoft.com/office/drawing/2014/main" id="{3B0EB829-FD66-DEE2-6825-657530140E3E}"/>
            </a:ext>
          </a:extLst>
        </xdr:cNvPr>
        <xdr:cNvSpPr txBox="1"/>
      </xdr:nvSpPr>
      <xdr:spPr>
        <a:xfrm>
          <a:off x="2743200" y="1287780"/>
          <a:ext cx="152400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a:t>Total</a:t>
          </a:r>
          <a:r>
            <a:rPr lang="en-IN" sz="1400" baseline="0"/>
            <a:t> Employees</a:t>
          </a:r>
          <a:endParaRPr lang="en-IN" sz="1100"/>
        </a:p>
      </xdr:txBody>
    </xdr:sp>
    <xdr:clientData/>
  </xdr:twoCellAnchor>
  <xdr:twoCellAnchor>
    <xdr:from>
      <xdr:col>13</xdr:col>
      <xdr:colOff>243840</xdr:colOff>
      <xdr:row>7</xdr:row>
      <xdr:rowOff>22860</xdr:rowOff>
    </xdr:from>
    <xdr:to>
      <xdr:col>15</xdr:col>
      <xdr:colOff>510540</xdr:colOff>
      <xdr:row>9</xdr:row>
      <xdr:rowOff>22860</xdr:rowOff>
    </xdr:to>
    <xdr:sp macro="" textlink="">
      <xdr:nvSpPr>
        <xdr:cNvPr id="20" name="TextBox 19">
          <a:extLst>
            <a:ext uri="{FF2B5EF4-FFF2-40B4-BE49-F238E27FC236}">
              <a16:creationId xmlns:a16="http://schemas.microsoft.com/office/drawing/2014/main" id="{F55F1855-B090-46F2-942B-997713A347FD}"/>
            </a:ext>
          </a:extLst>
        </xdr:cNvPr>
        <xdr:cNvSpPr txBox="1"/>
      </xdr:nvSpPr>
      <xdr:spPr>
        <a:xfrm>
          <a:off x="8168640" y="1303020"/>
          <a:ext cx="148590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a:t>Attrition </a:t>
          </a:r>
          <a:r>
            <a:rPr lang="en-IN" sz="1400" baseline="0"/>
            <a:t>Count</a:t>
          </a:r>
          <a:endParaRPr lang="en-IN" sz="1100"/>
        </a:p>
      </xdr:txBody>
    </xdr:sp>
    <xdr:clientData/>
  </xdr:twoCellAnchor>
  <xdr:twoCellAnchor>
    <xdr:from>
      <xdr:col>8</xdr:col>
      <xdr:colOff>541020</xdr:colOff>
      <xdr:row>7</xdr:row>
      <xdr:rowOff>15240</xdr:rowOff>
    </xdr:from>
    <xdr:to>
      <xdr:col>11</xdr:col>
      <xdr:colOff>236220</xdr:colOff>
      <xdr:row>9</xdr:row>
      <xdr:rowOff>15240</xdr:rowOff>
    </xdr:to>
    <xdr:sp macro="" textlink="">
      <xdr:nvSpPr>
        <xdr:cNvPr id="21" name="TextBox 20">
          <a:extLst>
            <a:ext uri="{FF2B5EF4-FFF2-40B4-BE49-F238E27FC236}">
              <a16:creationId xmlns:a16="http://schemas.microsoft.com/office/drawing/2014/main" id="{F25FE5C7-F541-4CCF-815A-C5F8DF74FF09}"/>
            </a:ext>
          </a:extLst>
        </xdr:cNvPr>
        <xdr:cNvSpPr txBox="1"/>
      </xdr:nvSpPr>
      <xdr:spPr>
        <a:xfrm>
          <a:off x="5417820" y="1295400"/>
          <a:ext cx="152400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Average</a:t>
          </a:r>
          <a:r>
            <a:rPr lang="en-IN" sz="1400" baseline="0"/>
            <a:t> Salary</a:t>
          </a:r>
          <a:endParaRPr lang="en-IN" sz="1400"/>
        </a:p>
      </xdr:txBody>
    </xdr:sp>
    <xdr:clientData/>
  </xdr:twoCellAnchor>
  <xdr:twoCellAnchor>
    <xdr:from>
      <xdr:col>18</xdr:col>
      <xdr:colOff>114300</xdr:colOff>
      <xdr:row>7</xdr:row>
      <xdr:rowOff>15240</xdr:rowOff>
    </xdr:from>
    <xdr:to>
      <xdr:col>20</xdr:col>
      <xdr:colOff>419100</xdr:colOff>
      <xdr:row>9</xdr:row>
      <xdr:rowOff>15240</xdr:rowOff>
    </xdr:to>
    <xdr:sp macro="" textlink="">
      <xdr:nvSpPr>
        <xdr:cNvPr id="22" name="TextBox 21">
          <a:extLst>
            <a:ext uri="{FF2B5EF4-FFF2-40B4-BE49-F238E27FC236}">
              <a16:creationId xmlns:a16="http://schemas.microsoft.com/office/drawing/2014/main" id="{8AA54BEB-2A8A-4001-A761-88249B4CED10}"/>
            </a:ext>
          </a:extLst>
        </xdr:cNvPr>
        <xdr:cNvSpPr txBox="1"/>
      </xdr:nvSpPr>
      <xdr:spPr>
        <a:xfrm>
          <a:off x="11087100" y="1295400"/>
          <a:ext cx="152400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400"/>
            <a:t>Attrition</a:t>
          </a:r>
          <a:r>
            <a:rPr lang="en-IN" sz="1400" baseline="0"/>
            <a:t> Rate</a:t>
          </a:r>
          <a:endParaRPr lang="en-IN" sz="1100"/>
        </a:p>
      </xdr:txBody>
    </xdr:sp>
    <xdr:clientData/>
  </xdr:twoCellAnchor>
  <xdr:twoCellAnchor editAs="oneCell">
    <xdr:from>
      <xdr:col>3</xdr:col>
      <xdr:colOff>251460</xdr:colOff>
      <xdr:row>7</xdr:row>
      <xdr:rowOff>152400</xdr:rowOff>
    </xdr:from>
    <xdr:to>
      <xdr:col>4</xdr:col>
      <xdr:colOff>205740</xdr:colOff>
      <xdr:row>10</xdr:row>
      <xdr:rowOff>167640</xdr:rowOff>
    </xdr:to>
    <xdr:pic>
      <xdr:nvPicPr>
        <xdr:cNvPr id="24" name="Graphic 23" descr="Captain male with solid fill">
          <a:extLst>
            <a:ext uri="{FF2B5EF4-FFF2-40B4-BE49-F238E27FC236}">
              <a16:creationId xmlns:a16="http://schemas.microsoft.com/office/drawing/2014/main" id="{CB26D9B1-F729-8121-0420-711A98A7CE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80260" y="1432560"/>
          <a:ext cx="563880" cy="563880"/>
        </a:xfrm>
        <a:prstGeom prst="rect">
          <a:avLst/>
        </a:prstGeom>
      </xdr:spPr>
    </xdr:pic>
    <xdr:clientData/>
  </xdr:twoCellAnchor>
  <xdr:twoCellAnchor editAs="oneCell">
    <xdr:from>
      <xdr:col>7</xdr:col>
      <xdr:colOff>472440</xdr:colOff>
      <xdr:row>7</xdr:row>
      <xdr:rowOff>144780</xdr:rowOff>
    </xdr:from>
    <xdr:to>
      <xdr:col>8</xdr:col>
      <xdr:colOff>381000</xdr:colOff>
      <xdr:row>10</xdr:row>
      <xdr:rowOff>114300</xdr:rowOff>
    </xdr:to>
    <xdr:pic>
      <xdr:nvPicPr>
        <xdr:cNvPr id="26" name="Graphic 25" descr="Rupee with solid fill">
          <a:extLst>
            <a:ext uri="{FF2B5EF4-FFF2-40B4-BE49-F238E27FC236}">
              <a16:creationId xmlns:a16="http://schemas.microsoft.com/office/drawing/2014/main" id="{DF9A799A-FD5C-5DF2-045E-F7192A8CFE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39640" y="1424940"/>
          <a:ext cx="518160" cy="518160"/>
        </a:xfrm>
        <a:prstGeom prst="rect">
          <a:avLst/>
        </a:prstGeom>
      </xdr:spPr>
    </xdr:pic>
    <xdr:clientData/>
  </xdr:twoCellAnchor>
  <xdr:twoCellAnchor>
    <xdr:from>
      <xdr:col>4</xdr:col>
      <xdr:colOff>304800</xdr:colOff>
      <xdr:row>8</xdr:row>
      <xdr:rowOff>152400</xdr:rowOff>
    </xdr:from>
    <xdr:to>
      <xdr:col>6</xdr:col>
      <xdr:colOff>510540</xdr:colOff>
      <xdr:row>10</xdr:row>
      <xdr:rowOff>152400</xdr:rowOff>
    </xdr:to>
    <xdr:sp macro="" textlink="'HR analytics dashboard'!A19">
      <xdr:nvSpPr>
        <xdr:cNvPr id="28" name="TextBox 27">
          <a:extLst>
            <a:ext uri="{FF2B5EF4-FFF2-40B4-BE49-F238E27FC236}">
              <a16:creationId xmlns:a16="http://schemas.microsoft.com/office/drawing/2014/main" id="{0F645363-C14C-C1B5-70EC-157E099D5910}"/>
            </a:ext>
          </a:extLst>
        </xdr:cNvPr>
        <xdr:cNvSpPr txBox="1"/>
      </xdr:nvSpPr>
      <xdr:spPr>
        <a:xfrm>
          <a:off x="2743200" y="1615440"/>
          <a:ext cx="142494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DEC78-5B50-46EF-90BC-6275DDBA52D3}" type="TxLink">
            <a:rPr lang="en-US" sz="2000" b="0" i="0" u="none" strike="noStrike">
              <a:solidFill>
                <a:srgbClr val="000000"/>
              </a:solidFill>
              <a:latin typeface="Aptos Narrow"/>
            </a:rPr>
            <a:pPr algn="ctr"/>
            <a:t>12</a:t>
          </a:fld>
          <a:endParaRPr lang="en-IN" sz="2000"/>
        </a:p>
      </xdr:txBody>
    </xdr:sp>
    <xdr:clientData/>
  </xdr:twoCellAnchor>
  <xdr:twoCellAnchor>
    <xdr:from>
      <xdr:col>9</xdr:col>
      <xdr:colOff>205740</xdr:colOff>
      <xdr:row>8</xdr:row>
      <xdr:rowOff>152400</xdr:rowOff>
    </xdr:from>
    <xdr:to>
      <xdr:col>11</xdr:col>
      <xdr:colOff>0</xdr:colOff>
      <xdr:row>10</xdr:row>
      <xdr:rowOff>152400</xdr:rowOff>
    </xdr:to>
    <xdr:sp macro="" textlink="'HR analytics dashboard'!C19">
      <xdr:nvSpPr>
        <xdr:cNvPr id="29" name="TextBox 28">
          <a:extLst>
            <a:ext uri="{FF2B5EF4-FFF2-40B4-BE49-F238E27FC236}">
              <a16:creationId xmlns:a16="http://schemas.microsoft.com/office/drawing/2014/main" id="{E53A8DAB-E234-D25A-1BB4-1F66D66BDF7F}"/>
            </a:ext>
          </a:extLst>
        </xdr:cNvPr>
        <xdr:cNvSpPr txBox="1"/>
      </xdr:nvSpPr>
      <xdr:spPr>
        <a:xfrm>
          <a:off x="5692140" y="1615440"/>
          <a:ext cx="101346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3560F5-8E66-4EDB-9D55-CABDD0E9076E}" type="TxLink">
            <a:rPr lang="en-US" sz="2000" b="0" i="0" u="none" strike="noStrike">
              <a:solidFill>
                <a:srgbClr val="000000"/>
              </a:solidFill>
              <a:latin typeface="Aptos Narrow"/>
            </a:rPr>
            <a:pPr algn="ctr"/>
            <a:t> 44,000 </a:t>
          </a:fld>
          <a:endParaRPr lang="en-IN" sz="2000"/>
        </a:p>
      </xdr:txBody>
    </xdr:sp>
    <xdr:clientData/>
  </xdr:twoCellAnchor>
  <xdr:twoCellAnchor editAs="oneCell">
    <xdr:from>
      <xdr:col>12</xdr:col>
      <xdr:colOff>30480</xdr:colOff>
      <xdr:row>7</xdr:row>
      <xdr:rowOff>83820</xdr:rowOff>
    </xdr:from>
    <xdr:to>
      <xdr:col>13</xdr:col>
      <xdr:colOff>38100</xdr:colOff>
      <xdr:row>10</xdr:row>
      <xdr:rowOff>152400</xdr:rowOff>
    </xdr:to>
    <xdr:pic>
      <xdr:nvPicPr>
        <xdr:cNvPr id="31" name="Graphic 30" descr="Tally with solid fill">
          <a:extLst>
            <a:ext uri="{FF2B5EF4-FFF2-40B4-BE49-F238E27FC236}">
              <a16:creationId xmlns:a16="http://schemas.microsoft.com/office/drawing/2014/main" id="{A54F55FB-69E2-4DEA-D78B-F7186A74FA5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45680" y="1363980"/>
          <a:ext cx="617220" cy="617220"/>
        </a:xfrm>
        <a:prstGeom prst="rect">
          <a:avLst/>
        </a:prstGeom>
      </xdr:spPr>
    </xdr:pic>
    <xdr:clientData/>
  </xdr:twoCellAnchor>
  <xdr:twoCellAnchor>
    <xdr:from>
      <xdr:col>13</xdr:col>
      <xdr:colOff>243840</xdr:colOff>
      <xdr:row>8</xdr:row>
      <xdr:rowOff>152400</xdr:rowOff>
    </xdr:from>
    <xdr:to>
      <xdr:col>15</xdr:col>
      <xdr:colOff>274320</xdr:colOff>
      <xdr:row>10</xdr:row>
      <xdr:rowOff>152400</xdr:rowOff>
    </xdr:to>
    <xdr:sp macro="" textlink="'HR analytics dashboard'!E19">
      <xdr:nvSpPr>
        <xdr:cNvPr id="32" name="TextBox 31">
          <a:extLst>
            <a:ext uri="{FF2B5EF4-FFF2-40B4-BE49-F238E27FC236}">
              <a16:creationId xmlns:a16="http://schemas.microsoft.com/office/drawing/2014/main" id="{9E8C7585-645E-51D6-DA1A-9D34B4A0B531}"/>
            </a:ext>
          </a:extLst>
        </xdr:cNvPr>
        <xdr:cNvSpPr txBox="1"/>
      </xdr:nvSpPr>
      <xdr:spPr>
        <a:xfrm>
          <a:off x="8168640" y="1615440"/>
          <a:ext cx="124968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4DAD46-D902-4604-BA5B-A5B984B2C076}" type="TxLink">
            <a:rPr lang="en-US" sz="2000" b="0" i="0" u="none" strike="noStrike">
              <a:solidFill>
                <a:srgbClr val="000000"/>
              </a:solidFill>
              <a:latin typeface="Aptos Narrow"/>
            </a:rPr>
            <a:pPr algn="ctr"/>
            <a:t>4</a:t>
          </a:fld>
          <a:endParaRPr lang="en-IN" sz="2000"/>
        </a:p>
      </xdr:txBody>
    </xdr:sp>
    <xdr:clientData/>
  </xdr:twoCellAnchor>
  <xdr:twoCellAnchor editAs="oneCell">
    <xdr:from>
      <xdr:col>16</xdr:col>
      <xdr:colOff>586740</xdr:colOff>
      <xdr:row>7</xdr:row>
      <xdr:rowOff>22860</xdr:rowOff>
    </xdr:from>
    <xdr:to>
      <xdr:col>18</xdr:col>
      <xdr:colOff>38100</xdr:colOff>
      <xdr:row>10</xdr:row>
      <xdr:rowOff>144780</xdr:rowOff>
    </xdr:to>
    <xdr:pic>
      <xdr:nvPicPr>
        <xdr:cNvPr id="34" name="Graphic 33" descr="Mortgage with solid fill">
          <a:extLst>
            <a:ext uri="{FF2B5EF4-FFF2-40B4-BE49-F238E27FC236}">
              <a16:creationId xmlns:a16="http://schemas.microsoft.com/office/drawing/2014/main" id="{A26172B5-90FB-4446-69D0-EE136EC306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40340" y="1303020"/>
          <a:ext cx="670560" cy="670560"/>
        </a:xfrm>
        <a:prstGeom prst="rect">
          <a:avLst/>
        </a:prstGeom>
      </xdr:spPr>
    </xdr:pic>
    <xdr:clientData/>
  </xdr:twoCellAnchor>
  <xdr:twoCellAnchor>
    <xdr:from>
      <xdr:col>18</xdr:col>
      <xdr:colOff>297180</xdr:colOff>
      <xdr:row>8</xdr:row>
      <xdr:rowOff>114300</xdr:rowOff>
    </xdr:from>
    <xdr:to>
      <xdr:col>20</xdr:col>
      <xdr:colOff>327660</xdr:colOff>
      <xdr:row>10</xdr:row>
      <xdr:rowOff>114300</xdr:rowOff>
    </xdr:to>
    <xdr:sp macro="" textlink="'HR analytics dashboard'!G19">
      <xdr:nvSpPr>
        <xdr:cNvPr id="35" name="TextBox 34">
          <a:extLst>
            <a:ext uri="{FF2B5EF4-FFF2-40B4-BE49-F238E27FC236}">
              <a16:creationId xmlns:a16="http://schemas.microsoft.com/office/drawing/2014/main" id="{1AD53337-BB86-2249-A050-7F3E056AD23B}"/>
            </a:ext>
          </a:extLst>
        </xdr:cNvPr>
        <xdr:cNvSpPr txBox="1"/>
      </xdr:nvSpPr>
      <xdr:spPr>
        <a:xfrm>
          <a:off x="11269980" y="1577340"/>
          <a:ext cx="1249680" cy="36576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C8533D-4A01-4D9E-B88E-BA7FA9E1D00F}" type="TxLink">
            <a:rPr lang="en-US" sz="2000" b="0" i="0" u="none" strike="noStrike">
              <a:solidFill>
                <a:srgbClr val="000000"/>
              </a:solidFill>
              <a:latin typeface="Aptos Narrow"/>
            </a:rPr>
            <a:pPr algn="ctr"/>
            <a:t>33%</a:t>
          </a:fld>
          <a:endParaRPr lang="en-IN" sz="2000"/>
        </a:p>
      </xdr:txBody>
    </xdr:sp>
    <xdr:clientData/>
  </xdr:twoCellAnchor>
  <xdr:twoCellAnchor>
    <xdr:from>
      <xdr:col>3</xdr:col>
      <xdr:colOff>251460</xdr:colOff>
      <xdr:row>12</xdr:row>
      <xdr:rowOff>0</xdr:rowOff>
    </xdr:from>
    <xdr:to>
      <xdr:col>9</xdr:col>
      <xdr:colOff>205740</xdr:colOff>
      <xdr:row>25</xdr:row>
      <xdr:rowOff>0</xdr:rowOff>
    </xdr:to>
    <xdr:graphicFrame macro="">
      <xdr:nvGraphicFramePr>
        <xdr:cNvPr id="36" name="Chart 35">
          <a:extLst>
            <a:ext uri="{FF2B5EF4-FFF2-40B4-BE49-F238E27FC236}">
              <a16:creationId xmlns:a16="http://schemas.microsoft.com/office/drawing/2014/main" id="{7921AF43-1C17-453F-A2D7-A8F28CFB8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388620</xdr:colOff>
      <xdr:row>12</xdr:row>
      <xdr:rowOff>0</xdr:rowOff>
    </xdr:from>
    <xdr:to>
      <xdr:col>15</xdr:col>
      <xdr:colOff>396240</xdr:colOff>
      <xdr:row>25</xdr:row>
      <xdr:rowOff>0</xdr:rowOff>
    </xdr:to>
    <xdr:graphicFrame macro="">
      <xdr:nvGraphicFramePr>
        <xdr:cNvPr id="37" name="Chart 36">
          <a:extLst>
            <a:ext uri="{FF2B5EF4-FFF2-40B4-BE49-F238E27FC236}">
              <a16:creationId xmlns:a16="http://schemas.microsoft.com/office/drawing/2014/main" id="{D48FABB5-AB77-4468-BFEC-6B326A721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594360</xdr:colOff>
      <xdr:row>12</xdr:row>
      <xdr:rowOff>0</xdr:rowOff>
    </xdr:from>
    <xdr:to>
      <xdr:col>21</xdr:col>
      <xdr:colOff>457200</xdr:colOff>
      <xdr:row>25</xdr:row>
      <xdr:rowOff>0</xdr:rowOff>
    </xdr:to>
    <xdr:graphicFrame macro="">
      <xdr:nvGraphicFramePr>
        <xdr:cNvPr id="38" name="Chart 37">
          <a:extLst>
            <a:ext uri="{FF2B5EF4-FFF2-40B4-BE49-F238E27FC236}">
              <a16:creationId xmlns:a16="http://schemas.microsoft.com/office/drawing/2014/main" id="{CE1ACB6D-5843-473D-A36E-4F6989DF8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251460</xdr:colOff>
      <xdr:row>25</xdr:row>
      <xdr:rowOff>38100</xdr:rowOff>
    </xdr:from>
    <xdr:to>
      <xdr:col>9</xdr:col>
      <xdr:colOff>205740</xdr:colOff>
      <xdr:row>37</xdr:row>
      <xdr:rowOff>91440</xdr:rowOff>
    </xdr:to>
    <xdr:graphicFrame macro="">
      <xdr:nvGraphicFramePr>
        <xdr:cNvPr id="39" name="Chart 38">
          <a:extLst>
            <a:ext uri="{FF2B5EF4-FFF2-40B4-BE49-F238E27FC236}">
              <a16:creationId xmlns:a16="http://schemas.microsoft.com/office/drawing/2014/main" id="{77A82FA3-5DCC-4E4C-B3A4-AA08AD5E8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311829</xdr:colOff>
      <xdr:row>25</xdr:row>
      <xdr:rowOff>38100</xdr:rowOff>
    </xdr:from>
    <xdr:to>
      <xdr:col>15</xdr:col>
      <xdr:colOff>479469</xdr:colOff>
      <xdr:row>37</xdr:row>
      <xdr:rowOff>91440</xdr:rowOff>
    </xdr:to>
    <xdr:graphicFrame macro="">
      <xdr:nvGraphicFramePr>
        <xdr:cNvPr id="40" name="Chart 39">
          <a:extLst>
            <a:ext uri="{FF2B5EF4-FFF2-40B4-BE49-F238E27FC236}">
              <a16:creationId xmlns:a16="http://schemas.microsoft.com/office/drawing/2014/main" id="{289F2D39-5ACB-4A48-B440-534EEE8E7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542910</xdr:colOff>
      <xdr:row>25</xdr:row>
      <xdr:rowOff>47079</xdr:rowOff>
    </xdr:from>
    <xdr:to>
      <xdr:col>21</xdr:col>
      <xdr:colOff>384069</xdr:colOff>
      <xdr:row>37</xdr:row>
      <xdr:rowOff>100419</xdr:rowOff>
    </xdr:to>
    <xdr:graphicFrame macro="">
      <xdr:nvGraphicFramePr>
        <xdr:cNvPr id="41" name="Chart 40">
          <a:extLst>
            <a:ext uri="{FF2B5EF4-FFF2-40B4-BE49-F238E27FC236}">
              <a16:creationId xmlns:a16="http://schemas.microsoft.com/office/drawing/2014/main" id="{E5A68D1E-EBB9-4BAB-8A44-D6BAF4E6E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85706</xdr:colOff>
      <xdr:row>9</xdr:row>
      <xdr:rowOff>164345</xdr:rowOff>
    </xdr:from>
    <xdr:to>
      <xdr:col>2</xdr:col>
      <xdr:colOff>526287</xdr:colOff>
      <xdr:row>18</xdr:row>
      <xdr:rowOff>0</xdr:rowOff>
    </xdr:to>
    <mc:AlternateContent xmlns:mc="http://schemas.openxmlformats.org/markup-compatibility/2006">
      <mc:Choice xmlns:a14="http://schemas.microsoft.com/office/drawing/2010/main" Requires="a14">
        <xdr:graphicFrame macro="">
          <xdr:nvGraphicFramePr>
            <xdr:cNvPr id="42" name="Department 1">
              <a:extLst>
                <a:ext uri="{FF2B5EF4-FFF2-40B4-BE49-F238E27FC236}">
                  <a16:creationId xmlns:a16="http://schemas.microsoft.com/office/drawing/2014/main" id="{981F19EB-71CE-4A91-B28D-0A4A110CE7B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5706" y="1777992"/>
              <a:ext cx="1665757" cy="144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85706</xdr:colOff>
      <xdr:row>19</xdr:row>
      <xdr:rowOff>33201</xdr:rowOff>
    </xdr:from>
    <xdr:to>
      <xdr:col>2</xdr:col>
      <xdr:colOff>526287</xdr:colOff>
      <xdr:row>25</xdr:row>
      <xdr:rowOff>1905</xdr:rowOff>
    </xdr:to>
    <mc:AlternateContent xmlns:mc="http://schemas.openxmlformats.org/markup-compatibility/2006">
      <mc:Choice xmlns:a14="http://schemas.microsoft.com/office/drawing/2010/main" Requires="a14">
        <xdr:graphicFrame macro="">
          <xdr:nvGraphicFramePr>
            <xdr:cNvPr id="43" name="Gender 1">
              <a:extLst>
                <a:ext uri="{FF2B5EF4-FFF2-40B4-BE49-F238E27FC236}">
                  <a16:creationId xmlns:a16="http://schemas.microsoft.com/office/drawing/2014/main" id="{AC166D85-6592-48C9-B864-BFC0BE822F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5706" y="3439789"/>
              <a:ext cx="1665757" cy="1044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89378</xdr:colOff>
      <xdr:row>26</xdr:row>
      <xdr:rowOff>6804</xdr:rowOff>
    </xdr:from>
    <xdr:to>
      <xdr:col>2</xdr:col>
      <xdr:colOff>496660</xdr:colOff>
      <xdr:row>33</xdr:row>
      <xdr:rowOff>6804</xdr:rowOff>
    </xdr:to>
    <mc:AlternateContent xmlns:mc="http://schemas.openxmlformats.org/markup-compatibility/2006">
      <mc:Choice xmlns:a14="http://schemas.microsoft.com/office/drawing/2010/main" Requires="a14">
        <xdr:graphicFrame macro="">
          <xdr:nvGraphicFramePr>
            <xdr:cNvPr id="44" name="Performance 1">
              <a:extLst>
                <a:ext uri="{FF2B5EF4-FFF2-40B4-BE49-F238E27FC236}">
                  <a16:creationId xmlns:a16="http://schemas.microsoft.com/office/drawing/2014/main" id="{30240DB4-2BD6-4204-BCF3-AAB6491725EC}"/>
                </a:ext>
              </a:extLst>
            </xdr:cNvPr>
            <xdr:cNvGraphicFramePr/>
          </xdr:nvGraphicFramePr>
          <xdr:xfrm>
            <a:off x="0" y="0"/>
            <a:ext cx="0" cy="0"/>
          </xdr:xfrm>
          <a:graphic>
            <a:graphicData uri="http://schemas.microsoft.com/office/drawing/2010/slicer">
              <sle:slicer xmlns:sle="http://schemas.microsoft.com/office/drawing/2010/slicer" name="Performance 1"/>
            </a:graphicData>
          </a:graphic>
        </xdr:graphicFrame>
      </mc:Choice>
      <mc:Fallback>
        <xdr:sp macro="" textlink="">
          <xdr:nvSpPr>
            <xdr:cNvPr id="0" name=""/>
            <xdr:cNvSpPr>
              <a:spLocks noTextEdit="1"/>
            </xdr:cNvSpPr>
          </xdr:nvSpPr>
          <xdr:spPr>
            <a:xfrm>
              <a:off x="89378" y="4668451"/>
              <a:ext cx="1632458"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allika" refreshedDate="46138.46553483796" createdVersion="8" refreshedVersion="8" minRefreshableVersion="3" recordCount="12" xr:uid="{1B12A7DF-4477-4B92-B1CD-9EA7B5A9E22E}">
  <cacheSource type="worksheet">
    <worksheetSource name="Table2"/>
  </cacheSource>
  <cacheFields count="12">
    <cacheField name="EmpID" numFmtId="0">
      <sharedItems containsSemiMixedTypes="0" containsString="0" containsNumber="1" containsInteger="1" minValue="1" maxValue="12"/>
    </cacheField>
    <cacheField name="Name" numFmtId="0">
      <sharedItems count="12">
        <s v="Amit"/>
        <s v="Neha"/>
        <s v="Ravi"/>
        <s v="Pooja"/>
        <s v="Karan"/>
        <s v="Anita"/>
        <s v="Rohit"/>
        <s v="Sneha"/>
        <s v="Arjun"/>
        <s v="Kavya"/>
        <s v="Vikas"/>
        <s v="Meera"/>
      </sharedItems>
    </cacheField>
    <cacheField name="Department" numFmtId="0">
      <sharedItems count="4">
        <s v="Sales"/>
        <s v="HR"/>
        <s v="IT"/>
        <s v="Finance"/>
      </sharedItems>
    </cacheField>
    <cacheField name="Gender" numFmtId="0">
      <sharedItems count="2">
        <s v="Male"/>
        <s v="Female"/>
      </sharedItems>
    </cacheField>
    <cacheField name="Age" numFmtId="0">
      <sharedItems containsSemiMixedTypes="0" containsString="0" containsNumber="1" containsInteger="1" minValue="26" maxValue="36"/>
    </cacheField>
    <cacheField name="Salary" numFmtId="0">
      <sharedItems containsSemiMixedTypes="0" containsString="0" containsNumber="1" containsInteger="1" minValue="38000" maxValue="52000"/>
    </cacheField>
    <cacheField name="Experience" numFmtId="0">
      <sharedItems containsSemiMixedTypes="0" containsString="0" containsNumber="1" containsInteger="1" minValue="2" maxValue="9"/>
    </cacheField>
    <cacheField name="Performance" numFmtId="0">
      <sharedItems count="3">
        <s v="Good"/>
        <s v="Excellent"/>
        <s v="Average"/>
      </sharedItems>
    </cacheField>
    <cacheField name="Attrition" numFmtId="0">
      <sharedItems count="2">
        <s v="No"/>
        <s v="Yes"/>
      </sharedItems>
    </cacheField>
    <cacheField name="countif" numFmtId="0">
      <sharedItems containsSemiMixedTypes="0" containsString="0" containsNumber="1" containsInteger="1" minValue="4" maxValue="4"/>
    </cacheField>
    <cacheField name="count employess" numFmtId="0">
      <sharedItems containsSemiMixedTypes="0" containsString="0" containsNumber="1" containsInteger="1" minValue="12" maxValue="12"/>
    </cacheField>
    <cacheField name="attrition rate%" numFmtId="9">
      <sharedItems containsSemiMixedTypes="0" containsString="0" containsNumber="1" minValue="0.33333333333333331" maxValue="0.33333333333333331"/>
    </cacheField>
  </cacheFields>
  <extLst>
    <ext xmlns:x14="http://schemas.microsoft.com/office/spreadsheetml/2009/9/main" uri="{725AE2AE-9491-48be-B2B4-4EB974FC3084}">
      <x14:pivotCacheDefinition pivotCacheId="11078392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allika" refreshedDate="46138.465535763891" createdVersion="8" refreshedVersion="8" minRefreshableVersion="3" recordCount="12" xr:uid="{14196457-0185-4317-B5CB-E1B47DF5721D}">
  <cacheSource type="worksheet">
    <worksheetSource ref="A1:L13" sheet="HR analytics dashboard"/>
  </cacheSource>
  <cacheFields count="12">
    <cacheField name="EmpID" numFmtId="0">
      <sharedItems containsSemiMixedTypes="0" containsString="0" containsNumber="1" containsInteger="1" minValue="1" maxValue="12"/>
    </cacheField>
    <cacheField name="Name" numFmtId="0">
      <sharedItems/>
    </cacheField>
    <cacheField name="Department" numFmtId="0">
      <sharedItems/>
    </cacheField>
    <cacheField name="Gender" numFmtId="0">
      <sharedItems/>
    </cacheField>
    <cacheField name="Age" numFmtId="0">
      <sharedItems containsSemiMixedTypes="0" containsString="0" containsNumber="1" containsInteger="1" minValue="26" maxValue="36"/>
    </cacheField>
    <cacheField name="Salary" numFmtId="0">
      <sharedItems containsSemiMixedTypes="0" containsString="0" containsNumber="1" containsInteger="1" minValue="38000" maxValue="52000"/>
    </cacheField>
    <cacheField name="Experience" numFmtId="0">
      <sharedItems containsSemiMixedTypes="0" containsString="0" containsNumber="1" containsInteger="1" minValue="2" maxValue="9"/>
    </cacheField>
    <cacheField name="Performance" numFmtId="0">
      <sharedItems/>
    </cacheField>
    <cacheField name="Attrition" numFmtId="0">
      <sharedItems/>
    </cacheField>
    <cacheField name="countif" numFmtId="0">
      <sharedItems containsSemiMixedTypes="0" containsString="0" containsNumber="1" containsInteger="1" minValue="4" maxValue="4"/>
    </cacheField>
    <cacheField name="count employess" numFmtId="0">
      <sharedItems containsSemiMixedTypes="0" containsString="0" containsNumber="1" containsInteger="1" minValue="12" maxValue="12"/>
    </cacheField>
    <cacheField name="attrition rate%" numFmtId="9">
      <sharedItems containsSemiMixedTypes="0" containsString="0" containsNumber="1" minValue="0.33333333333333331" maxValue="0.3333333333333333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x v="0"/>
    <x v="0"/>
    <n v="28"/>
    <n v="40000"/>
    <n v="3"/>
    <x v="0"/>
    <x v="0"/>
    <n v="4"/>
    <n v="12"/>
    <n v="0.33333333333333331"/>
  </r>
  <r>
    <n v="2"/>
    <x v="1"/>
    <x v="1"/>
    <x v="1"/>
    <n v="32"/>
    <n v="45000"/>
    <n v="5"/>
    <x v="1"/>
    <x v="0"/>
    <n v="4"/>
    <n v="12"/>
    <n v="0.33333333333333331"/>
  </r>
  <r>
    <n v="3"/>
    <x v="2"/>
    <x v="2"/>
    <x v="0"/>
    <n v="26"/>
    <n v="38000"/>
    <n v="2"/>
    <x v="2"/>
    <x v="1"/>
    <n v="4"/>
    <n v="12"/>
    <n v="0.33333333333333331"/>
  </r>
  <r>
    <n v="4"/>
    <x v="3"/>
    <x v="3"/>
    <x v="1"/>
    <n v="35"/>
    <n v="50000"/>
    <n v="7"/>
    <x v="0"/>
    <x v="0"/>
    <n v="4"/>
    <n v="12"/>
    <n v="0.33333333333333331"/>
  </r>
  <r>
    <n v="5"/>
    <x v="4"/>
    <x v="2"/>
    <x v="0"/>
    <n v="29"/>
    <n v="42000"/>
    <n v="4"/>
    <x v="1"/>
    <x v="0"/>
    <n v="4"/>
    <n v="12"/>
    <n v="0.33333333333333331"/>
  </r>
  <r>
    <n v="6"/>
    <x v="5"/>
    <x v="0"/>
    <x v="1"/>
    <n v="31"/>
    <n v="41000"/>
    <n v="6"/>
    <x v="2"/>
    <x v="1"/>
    <n v="4"/>
    <n v="12"/>
    <n v="0.33333333333333331"/>
  </r>
  <r>
    <n v="7"/>
    <x v="6"/>
    <x v="3"/>
    <x v="0"/>
    <n v="34"/>
    <n v="48000"/>
    <n v="8"/>
    <x v="0"/>
    <x v="0"/>
    <n v="4"/>
    <n v="12"/>
    <n v="0.33333333333333331"/>
  </r>
  <r>
    <n v="8"/>
    <x v="7"/>
    <x v="1"/>
    <x v="1"/>
    <n v="27"/>
    <n v="39000"/>
    <n v="2"/>
    <x v="0"/>
    <x v="1"/>
    <n v="4"/>
    <n v="12"/>
    <n v="0.33333333333333331"/>
  </r>
  <r>
    <n v="9"/>
    <x v="8"/>
    <x v="2"/>
    <x v="0"/>
    <n v="30"/>
    <n v="46000"/>
    <n v="5"/>
    <x v="1"/>
    <x v="0"/>
    <n v="4"/>
    <n v="12"/>
    <n v="0.33333333333333331"/>
  </r>
  <r>
    <n v="10"/>
    <x v="9"/>
    <x v="0"/>
    <x v="1"/>
    <n v="33"/>
    <n v="47000"/>
    <n v="6"/>
    <x v="0"/>
    <x v="0"/>
    <n v="4"/>
    <n v="12"/>
    <n v="0.33333333333333331"/>
  </r>
  <r>
    <n v="11"/>
    <x v="10"/>
    <x v="3"/>
    <x v="0"/>
    <n v="36"/>
    <n v="52000"/>
    <n v="9"/>
    <x v="1"/>
    <x v="0"/>
    <n v="4"/>
    <n v="12"/>
    <n v="0.33333333333333331"/>
  </r>
  <r>
    <n v="12"/>
    <x v="11"/>
    <x v="1"/>
    <x v="1"/>
    <n v="28"/>
    <n v="40000"/>
    <n v="3"/>
    <x v="2"/>
    <x v="1"/>
    <n v="4"/>
    <n v="12"/>
    <n v="0.333333333333333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s v="Amit"/>
    <s v="Sales"/>
    <s v="Male"/>
    <n v="28"/>
    <n v="40000"/>
    <n v="3"/>
    <s v="Good"/>
    <s v="No"/>
    <n v="4"/>
    <n v="12"/>
    <n v="0.33333333333333331"/>
  </r>
  <r>
    <n v="2"/>
    <s v="Neha"/>
    <s v="HR"/>
    <s v="Female"/>
    <n v="32"/>
    <n v="45000"/>
    <n v="5"/>
    <s v="Excellent"/>
    <s v="No"/>
    <n v="4"/>
    <n v="12"/>
    <n v="0.33333333333333331"/>
  </r>
  <r>
    <n v="3"/>
    <s v="Ravi"/>
    <s v="IT"/>
    <s v="Male"/>
    <n v="26"/>
    <n v="38000"/>
    <n v="2"/>
    <s v="Average"/>
    <s v="Yes"/>
    <n v="4"/>
    <n v="12"/>
    <n v="0.33333333333333331"/>
  </r>
  <r>
    <n v="4"/>
    <s v="Pooja"/>
    <s v="Finance"/>
    <s v="Female"/>
    <n v="35"/>
    <n v="50000"/>
    <n v="7"/>
    <s v="Good"/>
    <s v="No"/>
    <n v="4"/>
    <n v="12"/>
    <n v="0.33333333333333331"/>
  </r>
  <r>
    <n v="5"/>
    <s v="Karan"/>
    <s v="IT"/>
    <s v="Male"/>
    <n v="29"/>
    <n v="42000"/>
    <n v="4"/>
    <s v="Excellent"/>
    <s v="No"/>
    <n v="4"/>
    <n v="12"/>
    <n v="0.33333333333333331"/>
  </r>
  <r>
    <n v="6"/>
    <s v="Anita"/>
    <s v="Sales"/>
    <s v="Female"/>
    <n v="31"/>
    <n v="41000"/>
    <n v="6"/>
    <s v="Average"/>
    <s v="Yes"/>
    <n v="4"/>
    <n v="12"/>
    <n v="0.33333333333333331"/>
  </r>
  <r>
    <n v="7"/>
    <s v="Rohit"/>
    <s v="Finance"/>
    <s v="Male"/>
    <n v="34"/>
    <n v="48000"/>
    <n v="8"/>
    <s v="Good"/>
    <s v="No"/>
    <n v="4"/>
    <n v="12"/>
    <n v="0.33333333333333331"/>
  </r>
  <r>
    <n v="8"/>
    <s v="Sneha"/>
    <s v="HR"/>
    <s v="Female"/>
    <n v="27"/>
    <n v="39000"/>
    <n v="2"/>
    <s v="Good"/>
    <s v="Yes"/>
    <n v="4"/>
    <n v="12"/>
    <n v="0.33333333333333331"/>
  </r>
  <r>
    <n v="9"/>
    <s v="Arjun"/>
    <s v="IT"/>
    <s v="Male"/>
    <n v="30"/>
    <n v="46000"/>
    <n v="5"/>
    <s v="Excellent"/>
    <s v="No"/>
    <n v="4"/>
    <n v="12"/>
    <n v="0.33333333333333331"/>
  </r>
  <r>
    <n v="10"/>
    <s v="Kavya"/>
    <s v="Sales"/>
    <s v="Female"/>
    <n v="33"/>
    <n v="47000"/>
    <n v="6"/>
    <s v="Good"/>
    <s v="No"/>
    <n v="4"/>
    <n v="12"/>
    <n v="0.33333333333333331"/>
  </r>
  <r>
    <n v="11"/>
    <s v="Vikas"/>
    <s v="Finance"/>
    <s v="Male"/>
    <n v="36"/>
    <n v="52000"/>
    <n v="9"/>
    <s v="Excellent"/>
    <s v="No"/>
    <n v="4"/>
    <n v="12"/>
    <n v="0.33333333333333331"/>
  </r>
  <r>
    <n v="12"/>
    <s v="Meera"/>
    <s v="HR"/>
    <s v="Female"/>
    <n v="28"/>
    <n v="40000"/>
    <n v="3"/>
    <s v="Average"/>
    <s v="Yes"/>
    <n v="4"/>
    <n v="12"/>
    <n v="0.33333333333333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7BA30F-0D0E-487A-93CB-61FACE5F3629}" name="PivotTable3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8:E52" firstHeaderRow="1" firstDataRow="1" firstDataCol="1"/>
  <pivotFields count="12">
    <pivotField showAll="0"/>
    <pivotField showAll="0"/>
    <pivotField showAll="0">
      <items count="5">
        <item x="3"/>
        <item x="1"/>
        <item x="2"/>
        <item x="0"/>
        <item t="default"/>
      </items>
    </pivotField>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numFmtId="9" showAll="0"/>
  </pivotFields>
  <rowFields count="1">
    <field x="7"/>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D99EE0-6ED9-4631-B4F4-BC958C0B007C}" name="PivotTable3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8:C51" firstHeaderRow="1" firstDataRow="1" firstDataCol="1"/>
  <pivotFields count="12">
    <pivotField showAll="0"/>
    <pivotField showAll="0"/>
    <pivotField showAll="0">
      <items count="5">
        <item x="3"/>
        <item x="1"/>
        <item x="2"/>
        <item x="0"/>
        <item t="default"/>
      </items>
    </pivotField>
    <pivotField axis="axisRow"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numFmtId="9" showAll="0"/>
  </pivotFields>
  <rowFields count="1">
    <field x="3"/>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04EAF-1BCB-4C59-8905-F9B1B6044D2B}" name="PivotTable30"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A53" firstHeaderRow="1" firstDataRow="1" firstDataCol="1"/>
  <pivotFields count="12">
    <pivotField showAll="0"/>
    <pivotField showAll="0"/>
    <pivotField axis="axisRow" showAll="0">
      <items count="5">
        <item x="3"/>
        <item x="1"/>
        <item x="2"/>
        <item x="0"/>
        <item t="default"/>
      </items>
    </pivotField>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numFmtId="9"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1F3149-BA4D-4399-9B52-311CDBF467E4}" name="PivotTable29"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0:G45" firstHeaderRow="1" firstDataRow="2" firstDataCol="1"/>
  <pivotFields count="12">
    <pivotField dataField="1" showAll="0"/>
    <pivotField showAll="0"/>
    <pivotField showAll="0">
      <items count="5">
        <item x="3"/>
        <item x="1"/>
        <item x="2"/>
        <item x="0"/>
        <item t="default"/>
      </items>
    </pivotField>
    <pivotField showAll="0">
      <items count="3">
        <item x="1"/>
        <item x="0"/>
        <item t="default"/>
      </items>
    </pivotField>
    <pivotField showAll="0"/>
    <pivotField showAll="0"/>
    <pivotField showAll="0"/>
    <pivotField axis="axisRow" showAll="0">
      <items count="4">
        <item x="2"/>
        <item x="1"/>
        <item x="0"/>
        <item t="default"/>
      </items>
    </pivotField>
    <pivotField axis="axisCol" showAll="0">
      <items count="3">
        <item x="0"/>
        <item x="1"/>
        <item t="default"/>
      </items>
    </pivotField>
    <pivotField showAll="0"/>
    <pivotField showAll="0"/>
    <pivotField numFmtId="9" showAll="0"/>
  </pivotFields>
  <rowFields count="1">
    <field x="7"/>
  </rowFields>
  <rowItems count="4">
    <i>
      <x/>
    </i>
    <i>
      <x v="1"/>
    </i>
    <i>
      <x v="2"/>
    </i>
    <i t="grand">
      <x/>
    </i>
  </rowItems>
  <colFields count="1">
    <field x="8"/>
  </colFields>
  <colItems count="3">
    <i>
      <x/>
    </i>
    <i>
      <x v="1"/>
    </i>
    <i t="grand">
      <x/>
    </i>
  </colItems>
  <dataFields count="1">
    <dataField name="Count of EmpID" fld="0" subtotal="count" baseField="7"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A3E71-A262-44CA-BA06-DE886E000438}" name="PivotTable28"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2:E36" firstHeaderRow="1" firstDataRow="1" firstDataCol="1" rowPageCount="1" colPageCount="1"/>
  <pivotFields count="12">
    <pivotField showAll="0"/>
    <pivotField showAll="0"/>
    <pivotField axis="axisRow" showAll="0">
      <items count="5">
        <item x="3"/>
        <item x="1"/>
        <item x="2"/>
        <item x="0"/>
        <item t="default"/>
      </items>
    </pivotField>
    <pivotField showAll="0">
      <items count="3">
        <item x="1"/>
        <item x="0"/>
        <item t="default"/>
      </items>
    </pivotField>
    <pivotField showAll="0"/>
    <pivotField showAll="0"/>
    <pivotField showAll="0"/>
    <pivotField showAll="0">
      <items count="4">
        <item x="2"/>
        <item x="1"/>
        <item x="0"/>
        <item t="default"/>
      </items>
    </pivotField>
    <pivotField axis="axisPage" dataField="1" multipleItemSelectionAllowed="1" showAll="0">
      <items count="3">
        <item h="1" x="0"/>
        <item x="1"/>
        <item t="default"/>
      </items>
    </pivotField>
    <pivotField showAll="0"/>
    <pivotField showAll="0"/>
    <pivotField numFmtId="9" showAll="0"/>
  </pivotFields>
  <rowFields count="1">
    <field x="2"/>
  </rowFields>
  <rowItems count="4">
    <i>
      <x v="1"/>
    </i>
    <i>
      <x v="2"/>
    </i>
    <i>
      <x v="3"/>
    </i>
    <i t="grand">
      <x/>
    </i>
  </rowItems>
  <colItems count="1">
    <i/>
  </colItems>
  <pageFields count="1">
    <pageField fld="8" hier="-1"/>
  </pageFields>
  <dataFields count="1">
    <dataField name="Count of Attrition"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10225D-576E-47EB-BA76-E291D467FA7A}" name="PivotTable27"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7" firstHeaderRow="1" firstDataRow="1" firstDataCol="1"/>
  <pivotFields count="12">
    <pivotField showAll="0"/>
    <pivotField showAll="0"/>
    <pivotField showAll="0">
      <items count="5">
        <item x="3"/>
        <item x="1"/>
        <item x="2"/>
        <item x="0"/>
        <item t="default"/>
      </items>
    </pivotField>
    <pivotField showAll="0">
      <items count="3">
        <item x="1"/>
        <item x="0"/>
        <item t="default"/>
      </items>
    </pivotField>
    <pivotField showAll="0"/>
    <pivotField showAll="0"/>
    <pivotField showAll="0"/>
    <pivotField axis="axisRow" dataField="1" showAll="0">
      <items count="4">
        <item x="2"/>
        <item x="1"/>
        <item x="0"/>
        <item t="default"/>
      </items>
    </pivotField>
    <pivotField showAll="0"/>
    <pivotField showAll="0"/>
    <pivotField showAll="0"/>
    <pivotField numFmtId="9" showAll="0"/>
  </pivotFields>
  <rowFields count="1">
    <field x="7"/>
  </rowFields>
  <rowItems count="4">
    <i>
      <x/>
    </i>
    <i>
      <x v="1"/>
    </i>
    <i>
      <x v="2"/>
    </i>
    <i t="grand">
      <x/>
    </i>
  </rowItems>
  <colItems count="1">
    <i/>
  </colItems>
  <dataFields count="1">
    <dataField name="Count of Performance" fld="7"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92B4DD-2BFC-432F-9CAB-6B71DA4B5700}" name="PivotTable26"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9:M34" firstHeaderRow="1" firstDataRow="1" firstDataCol="1"/>
  <pivotFields count="12">
    <pivotField showAll="0"/>
    <pivotField showAll="0"/>
    <pivotField axis="axisRow" showAll="0">
      <items count="5">
        <item x="3"/>
        <item x="1"/>
        <item x="2"/>
        <item x="0"/>
        <item t="default"/>
      </items>
    </pivotField>
    <pivotField showAll="0">
      <items count="3">
        <item x="1"/>
        <item x="0"/>
        <item t="default"/>
      </items>
    </pivotField>
    <pivotField showAll="0"/>
    <pivotField dataField="1" showAll="0"/>
    <pivotField showAll="0"/>
    <pivotField showAll="0">
      <items count="4">
        <item x="2"/>
        <item x="1"/>
        <item x="0"/>
        <item t="default"/>
      </items>
    </pivotField>
    <pivotField showAll="0"/>
    <pivotField showAll="0"/>
    <pivotField showAll="0"/>
    <pivotField numFmtId="9" showAll="0"/>
  </pivotFields>
  <rowFields count="1">
    <field x="2"/>
  </rowFields>
  <rowItems count="5">
    <i>
      <x/>
    </i>
    <i>
      <x v="1"/>
    </i>
    <i>
      <x v="2"/>
    </i>
    <i>
      <x v="3"/>
    </i>
    <i t="grand">
      <x/>
    </i>
  </rowItems>
  <colItems count="1">
    <i/>
  </colItems>
  <dataFields count="1">
    <dataField name="Average of Salary" fld="5"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E32968-589B-4DAF-B91D-A56CB77F9371}" name="PivotTable25"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0:H33" firstHeaderRow="1" firstDataRow="1" firstDataCol="1"/>
  <pivotFields count="12">
    <pivotField showAll="0"/>
    <pivotField showAll="0"/>
    <pivotField showAll="0">
      <items count="5">
        <item x="3"/>
        <item x="1"/>
        <item x="2"/>
        <item x="0"/>
        <item t="default"/>
      </items>
    </pivotField>
    <pivotField axis="axisRow"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numFmtId="9" showAll="0"/>
  </pivotFields>
  <rowFields count="1">
    <field x="3"/>
  </rowFields>
  <rowItems count="3">
    <i>
      <x/>
    </i>
    <i>
      <x v="1"/>
    </i>
    <i t="grand">
      <x/>
    </i>
  </rowItems>
  <colItems count="1">
    <i/>
  </colItems>
  <dataFields count="1">
    <dataField name="Count of Gender" fld="3"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E4BD0E-62FD-4639-ADBE-AC4EB85EBCFC}" name="PivotTable24"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3:H27" firstHeaderRow="1" firstDataRow="1" firstDataCol="1" rowPageCount="1" colPageCount="1"/>
  <pivotFields count="12">
    <pivotField showAll="0"/>
    <pivotField showAll="0"/>
    <pivotField axis="axisRow" showAll="0">
      <items count="5">
        <item x="3"/>
        <item x="1"/>
        <item x="2"/>
        <item x="0"/>
        <item t="default"/>
      </items>
    </pivotField>
    <pivotField showAll="0">
      <items count="3">
        <item x="1"/>
        <item x="0"/>
        <item t="default"/>
      </items>
    </pivotField>
    <pivotField showAll="0"/>
    <pivotField showAll="0"/>
    <pivotField showAll="0"/>
    <pivotField showAll="0">
      <items count="4">
        <item x="2"/>
        <item x="1"/>
        <item x="0"/>
        <item t="default"/>
      </items>
    </pivotField>
    <pivotField axis="axisPage" dataField="1" multipleItemSelectionAllowed="1" showAll="0">
      <items count="3">
        <item h="1" x="0"/>
        <item x="1"/>
        <item t="default"/>
      </items>
    </pivotField>
    <pivotField showAll="0"/>
    <pivotField showAll="0"/>
    <pivotField numFmtId="9" showAll="0"/>
  </pivotFields>
  <rowFields count="1">
    <field x="2"/>
  </rowFields>
  <rowItems count="4">
    <i>
      <x v="1"/>
    </i>
    <i>
      <x v="2"/>
    </i>
    <i>
      <x v="3"/>
    </i>
    <i t="grand">
      <x/>
    </i>
  </rowItems>
  <colItems count="1">
    <i/>
  </colItems>
  <pageFields count="1">
    <pageField fld="8" hier="-1"/>
  </pageFields>
  <dataFields count="1">
    <dataField name="Count of Attrit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B9EB86-73A3-4AC8-901D-DED22C33530C}" name="PivotTable2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B27" firstHeaderRow="1" firstDataRow="1" firstDataCol="1"/>
  <pivotFields count="12">
    <pivotField showAll="0"/>
    <pivotField dataField="1" showAll="0">
      <items count="13">
        <item x="0"/>
        <item x="5"/>
        <item x="8"/>
        <item x="4"/>
        <item x="9"/>
        <item x="11"/>
        <item x="1"/>
        <item x="3"/>
        <item x="2"/>
        <item x="6"/>
        <item x="7"/>
        <item x="10"/>
        <item t="default"/>
      </items>
    </pivotField>
    <pivotField axis="axisRow" showAll="0">
      <items count="5">
        <item x="3"/>
        <item x="1"/>
        <item x="2"/>
        <item x="0"/>
        <item t="default"/>
      </items>
    </pivotField>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numFmtId="9" showAll="0"/>
  </pivotFields>
  <rowFields count="1">
    <field x="2"/>
  </rowFields>
  <rowItems count="5">
    <i>
      <x/>
    </i>
    <i>
      <x v="1"/>
    </i>
    <i>
      <x v="2"/>
    </i>
    <i>
      <x v="3"/>
    </i>
    <i t="grand">
      <x/>
    </i>
  </rowItems>
  <colItems count="1">
    <i/>
  </colItems>
  <dataFields count="1">
    <dataField name="Count of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913C3E-27A1-4592-8835-5A713A2CCE99}" name="PivotTable21" cacheId="6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6:G17" firstHeaderRow="1" firstDataRow="1" firstDataCol="0"/>
  <pivotFields count="12">
    <pivotField showAll="0"/>
    <pivotField showAll="0"/>
    <pivotField showAll="0">
      <items count="5">
        <item x="3"/>
        <item x="1"/>
        <item x="2"/>
        <item x="0"/>
        <item t="default"/>
      </items>
    </pivotField>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dataField="1" numFmtId="9" showAll="0"/>
  </pivotFields>
  <rowItems count="1">
    <i/>
  </rowItems>
  <colItems count="1">
    <i/>
  </colItems>
  <dataFields count="1">
    <dataField name="Average of attrition rate%"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80BD5D-B0DF-473E-B0B1-80D237814071}" name="PivotTable1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E17" firstHeaderRow="1" firstDataRow="1" firstDataCol="0"/>
  <pivotFields count="12">
    <pivotField showAll="0"/>
    <pivotField showAll="0"/>
    <pivotField showAll="0"/>
    <pivotField showAll="0"/>
    <pivotField showAll="0"/>
    <pivotField showAll="0"/>
    <pivotField showAll="0"/>
    <pivotField showAll="0"/>
    <pivotField showAll="0"/>
    <pivotField dataField="1" showAll="0"/>
    <pivotField showAll="0"/>
    <pivotField numFmtId="9" showAll="0"/>
  </pivotFields>
  <rowItems count="1">
    <i/>
  </rowItems>
  <colItems count="1">
    <i/>
  </colItems>
  <dataFields count="1">
    <dataField name="Average of countif"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FDA075-1F3F-414C-BAAD-152AB7A536FC}" name="PivotTable1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C17" firstHeaderRow="1" firstDataRow="1" firstDataCol="0"/>
  <pivotFields count="12">
    <pivotField showAll="0"/>
    <pivotField showAll="0"/>
    <pivotField showAll="0"/>
    <pivotField showAll="0"/>
    <pivotField showAll="0"/>
    <pivotField dataField="1" showAll="0"/>
    <pivotField showAll="0"/>
    <pivotField showAll="0"/>
    <pivotField showAll="0"/>
    <pivotField showAll="0"/>
    <pivotField showAll="0"/>
    <pivotField numFmtId="9" showAll="0"/>
  </pivotFields>
  <rowItems count="1">
    <i/>
  </rowItems>
  <colItems count="1">
    <i/>
  </colItems>
  <dataFields count="1">
    <dataField name="Average of Salary" fld="5"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6E2716-4113-4770-A5F4-5DE162E1910C}" name="PivotTable1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2">
    <pivotField showAll="0"/>
    <pivotField dataField="1" showAll="0" includeNewItemsInFilter="1" defaultSubtotal="0"/>
    <pivotField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F0586BC-FC72-4042-8096-3117C585C3F0}" sourceName="Department">
  <pivotTables>
    <pivotTable tabId="2" name="PivotTable30"/>
    <pivotTable tabId="2" name="PivotTable21"/>
    <pivotTable tabId="2" name="PivotTable22"/>
    <pivotTable tabId="2" name="PivotTable24"/>
    <pivotTable tabId="2" name="PivotTable25"/>
    <pivotTable tabId="2" name="PivotTable26"/>
    <pivotTable tabId="2" name="PivotTable27"/>
    <pivotTable tabId="2" name="PivotTable28"/>
    <pivotTable tabId="2" name="PivotTable29"/>
    <pivotTable tabId="2" name="PivotTable31"/>
    <pivotTable tabId="2" name="PivotTable32"/>
  </pivotTables>
  <data>
    <tabular pivotCacheId="1107839257">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CA4D8C-47DC-4EBC-9A18-062A3DCBC8F6}" sourceName="Gender">
  <pivotTables>
    <pivotTable tabId="2" name="PivotTable31"/>
    <pivotTable tabId="2" name="PivotTable21"/>
    <pivotTable tabId="2" name="PivotTable22"/>
    <pivotTable tabId="2" name="PivotTable24"/>
    <pivotTable tabId="2" name="PivotTable25"/>
    <pivotTable tabId="2" name="PivotTable26"/>
    <pivotTable tabId="2" name="PivotTable27"/>
    <pivotTable tabId="2" name="PivotTable28"/>
    <pivotTable tabId="2" name="PivotTable29"/>
    <pivotTable tabId="2" name="PivotTable30"/>
    <pivotTable tabId="2" name="PivotTable32"/>
  </pivotTables>
  <data>
    <tabular pivotCacheId="11078392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F498E879-4C2C-48F1-87A7-61C9A7018BA2}" sourceName="Performance">
  <pivotTables>
    <pivotTable tabId="2" name="PivotTable32"/>
    <pivotTable tabId="2" name="PivotTable21"/>
    <pivotTable tabId="2" name="PivotTable22"/>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s>
  <data>
    <tabular pivotCacheId="110783925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4B0851A-E69E-4909-85C6-01113BE2F14F}" cache="Slicer_Department" caption="Department" rowHeight="247650"/>
  <slicer name="Gender 1" xr10:uid="{4A1BC756-005C-48DC-BC93-6BE8FE9B1494}" cache="Slicer_Gender" caption="Gender" rowHeight="247650"/>
  <slicer name="Performance 1" xr10:uid="{7F1536AF-8CBD-428F-8B8F-32DC0D9B89BA}" cache="Slicer_Performance" caption="Performanc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A3FA82-EB9C-4534-B438-1925E506080E}" name="Table2" displayName="Table2" ref="A1:L13" totalsRowShown="0" headerRowDxfId="1" tableBorderDxfId="14">
  <autoFilter ref="A1:L13" xr:uid="{D0A3FA82-EB9C-4534-B438-1925E506080E}"/>
  <tableColumns count="12">
    <tableColumn id="1" xr3:uid="{AD2E44E1-C225-473B-87BB-A247B0BD0AC9}" name="EmpID" dataDxfId="13"/>
    <tableColumn id="2" xr3:uid="{556D2FBB-0FC8-422B-A002-CD61E41BA841}" name="Name" dataDxfId="12"/>
    <tableColumn id="3" xr3:uid="{EEAD30F6-1674-4E24-BD2B-A09F95C05657}" name="Department" dataDxfId="11"/>
    <tableColumn id="4" xr3:uid="{A6F0AFFE-4C3B-4BC2-9B47-CDCA4B608355}" name="Gender" dataDxfId="10"/>
    <tableColumn id="5" xr3:uid="{ACD7DB47-5949-4B3F-906B-6D8B0CF082E8}" name="Age" dataDxfId="9"/>
    <tableColumn id="6" xr3:uid="{F340454B-9544-4590-A003-85E03AC814C5}" name="Salary" dataDxfId="8"/>
    <tableColumn id="7" xr3:uid="{CD748FD8-645D-4404-B06C-6A5EA06330F2}" name="Experience" dataDxfId="7"/>
    <tableColumn id="8" xr3:uid="{3D9DEF18-ED3A-44DC-B0FA-B38B44496C2C}" name="Performance" dataDxfId="6"/>
    <tableColumn id="9" xr3:uid="{48BACCF1-C5B1-4C73-A1A4-C90A6F1032C9}" name="Attrition" dataDxfId="5"/>
    <tableColumn id="10" xr3:uid="{4E5F6C8C-45C8-408D-8137-15E34C62C97C}" name="countif" dataDxfId="4">
      <calculatedColumnFormula>COUNTIF('HR analytics dashboard'!$I$2:$I$13,"Yes")</calculatedColumnFormula>
    </tableColumn>
    <tableColumn id="11" xr3:uid="{1A8D9554-6C13-466D-B590-542A45BE037A}" name="count employess" dataDxfId="3">
      <calculatedColumnFormula>COUNTA('HR analytics dashboard'!$A$2:$A$13)</calculatedColumnFormula>
    </tableColumn>
    <tableColumn id="12" xr3:uid="{980AB8AF-8B7F-48CB-9C44-B1AC98448684}" name="attrition rate%" dataDxfId="2" dataCellStyle="Percent">
      <calculatedColumnFormula>'HR analytics dashboard'!$J2/'HR analytics dashboard'!$K2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3445F-A70A-42B9-B610-9F3EE4E806AD}">
  <dimension ref="A1:M53"/>
  <sheetViews>
    <sheetView workbookViewId="0">
      <selection activeCell="E49" sqref="E49"/>
    </sheetView>
  </sheetViews>
  <sheetFormatPr defaultRowHeight="14.4" x14ac:dyDescent="0.3"/>
  <cols>
    <col min="1" max="1" width="12.44140625" bestFit="1" customWidth="1"/>
    <col min="2" max="2" width="19" bestFit="1" customWidth="1"/>
    <col min="3" max="3" width="12.44140625" bestFit="1" customWidth="1"/>
    <col min="4" max="4" width="13.77734375" bestFit="1" customWidth="1"/>
    <col min="5" max="5" width="12.44140625" bestFit="1" customWidth="1"/>
    <col min="6" max="6" width="8.44140625" bestFit="1" customWidth="1"/>
    <col min="7" max="7" width="10.5546875" bestFit="1" customWidth="1"/>
    <col min="8" max="8" width="14.33203125" bestFit="1" customWidth="1"/>
    <col min="9" max="9" width="12.77734375" bestFit="1" customWidth="1"/>
    <col min="10" max="10" width="9" bestFit="1" customWidth="1"/>
    <col min="11" max="11" width="17.33203125" bestFit="1" customWidth="1"/>
    <col min="12" max="12" width="12.44140625" bestFit="1" customWidth="1"/>
    <col min="13" max="13" width="15.109375" bestFit="1" customWidth="1"/>
  </cols>
  <sheetData>
    <row r="1" spans="1:12" x14ac:dyDescent="0.3">
      <c r="A1" s="11" t="s">
        <v>0</v>
      </c>
      <c r="B1" s="11" t="s">
        <v>1</v>
      </c>
      <c r="C1" s="11" t="s">
        <v>2</v>
      </c>
      <c r="D1" s="11" t="s">
        <v>3</v>
      </c>
      <c r="E1" s="11" t="s">
        <v>4</v>
      </c>
      <c r="F1" s="11" t="s">
        <v>5</v>
      </c>
      <c r="G1" s="11" t="s">
        <v>6</v>
      </c>
      <c r="H1" s="11" t="s">
        <v>7</v>
      </c>
      <c r="I1" s="11" t="s">
        <v>8</v>
      </c>
      <c r="J1" s="11" t="s">
        <v>37</v>
      </c>
      <c r="K1" s="11" t="s">
        <v>38</v>
      </c>
      <c r="L1" s="11" t="s">
        <v>39</v>
      </c>
    </row>
    <row r="2" spans="1:12" x14ac:dyDescent="0.3">
      <c r="A2" s="6">
        <v>1</v>
      </c>
      <c r="B2" s="5" t="s">
        <v>9</v>
      </c>
      <c r="C2" s="5" t="s">
        <v>10</v>
      </c>
      <c r="D2" s="5" t="s">
        <v>11</v>
      </c>
      <c r="E2" s="6">
        <v>28</v>
      </c>
      <c r="F2" s="6">
        <v>40000</v>
      </c>
      <c r="G2" s="6">
        <v>3</v>
      </c>
      <c r="H2" s="5" t="s">
        <v>12</v>
      </c>
      <c r="I2" s="5" t="s">
        <v>13</v>
      </c>
      <c r="J2" s="6">
        <f>COUNTIF('HR analytics dashboard'!$I$2:$I$13,"Yes")</f>
        <v>4</v>
      </c>
      <c r="K2" s="6">
        <f>COUNTA('HR analytics dashboard'!$A$2:$A$13)</f>
        <v>12</v>
      </c>
      <c r="L2" s="9">
        <f>'HR analytics dashboard'!$J2/'HR analytics dashboard'!$K2</f>
        <v>0.33333333333333331</v>
      </c>
    </row>
    <row r="3" spans="1:12" x14ac:dyDescent="0.3">
      <c r="A3" s="8">
        <v>2</v>
      </c>
      <c r="B3" s="7" t="s">
        <v>14</v>
      </c>
      <c r="C3" s="7" t="s">
        <v>15</v>
      </c>
      <c r="D3" s="7" t="s">
        <v>16</v>
      </c>
      <c r="E3" s="8">
        <v>32</v>
      </c>
      <c r="F3" s="8">
        <v>45000</v>
      </c>
      <c r="G3" s="8">
        <v>5</v>
      </c>
      <c r="H3" s="7" t="s">
        <v>17</v>
      </c>
      <c r="I3" s="7" t="s">
        <v>13</v>
      </c>
      <c r="J3" s="8">
        <f>COUNTIF('HR analytics dashboard'!$I$2:$I$13,"Yes")</f>
        <v>4</v>
      </c>
      <c r="K3" s="8">
        <f>COUNTA('HR analytics dashboard'!$A$2:$A$13)</f>
        <v>12</v>
      </c>
      <c r="L3" s="10">
        <f>'HR analytics dashboard'!$J3/'HR analytics dashboard'!$K3</f>
        <v>0.33333333333333331</v>
      </c>
    </row>
    <row r="4" spans="1:12" x14ac:dyDescent="0.3">
      <c r="A4" s="6">
        <v>3</v>
      </c>
      <c r="B4" s="5" t="s">
        <v>18</v>
      </c>
      <c r="C4" s="5" t="s">
        <v>19</v>
      </c>
      <c r="D4" s="5" t="s">
        <v>11</v>
      </c>
      <c r="E4" s="6">
        <v>26</v>
      </c>
      <c r="F4" s="6">
        <v>38000</v>
      </c>
      <c r="G4" s="6">
        <v>2</v>
      </c>
      <c r="H4" s="5" t="s">
        <v>20</v>
      </c>
      <c r="I4" s="5" t="s">
        <v>21</v>
      </c>
      <c r="J4" s="6">
        <f>COUNTIF('HR analytics dashboard'!$I$2:$I$13,"Yes")</f>
        <v>4</v>
      </c>
      <c r="K4" s="6">
        <f>COUNTA('HR analytics dashboard'!$A$2:$A$13)</f>
        <v>12</v>
      </c>
      <c r="L4" s="9">
        <f>'HR analytics dashboard'!$J4/'HR analytics dashboard'!$K4</f>
        <v>0.33333333333333331</v>
      </c>
    </row>
    <row r="5" spans="1:12" x14ac:dyDescent="0.3">
      <c r="A5" s="8">
        <v>4</v>
      </c>
      <c r="B5" s="7" t="s">
        <v>22</v>
      </c>
      <c r="C5" s="7" t="s">
        <v>23</v>
      </c>
      <c r="D5" s="7" t="s">
        <v>16</v>
      </c>
      <c r="E5" s="8">
        <v>35</v>
      </c>
      <c r="F5" s="8">
        <v>50000</v>
      </c>
      <c r="G5" s="8">
        <v>7</v>
      </c>
      <c r="H5" s="7" t="s">
        <v>12</v>
      </c>
      <c r="I5" s="7" t="s">
        <v>13</v>
      </c>
      <c r="J5" s="8">
        <f>COUNTIF('HR analytics dashboard'!$I$2:$I$13,"Yes")</f>
        <v>4</v>
      </c>
      <c r="K5" s="8">
        <f>COUNTA('HR analytics dashboard'!$A$2:$A$13)</f>
        <v>12</v>
      </c>
      <c r="L5" s="10">
        <f>'HR analytics dashboard'!$J5/'HR analytics dashboard'!$K5</f>
        <v>0.33333333333333331</v>
      </c>
    </row>
    <row r="6" spans="1:12" x14ac:dyDescent="0.3">
      <c r="A6" s="6">
        <v>5</v>
      </c>
      <c r="B6" s="5" t="s">
        <v>24</v>
      </c>
      <c r="C6" s="5" t="s">
        <v>19</v>
      </c>
      <c r="D6" s="5" t="s">
        <v>11</v>
      </c>
      <c r="E6" s="6">
        <v>29</v>
      </c>
      <c r="F6" s="6">
        <v>42000</v>
      </c>
      <c r="G6" s="6">
        <v>4</v>
      </c>
      <c r="H6" s="5" t="s">
        <v>17</v>
      </c>
      <c r="I6" s="5" t="s">
        <v>13</v>
      </c>
      <c r="J6" s="6">
        <f>COUNTIF('HR analytics dashboard'!$I$2:$I$13,"Yes")</f>
        <v>4</v>
      </c>
      <c r="K6" s="6">
        <f>COUNTA('HR analytics dashboard'!$A$2:$A$13)</f>
        <v>12</v>
      </c>
      <c r="L6" s="9">
        <f>'HR analytics dashboard'!$J6/'HR analytics dashboard'!$K6</f>
        <v>0.33333333333333331</v>
      </c>
    </row>
    <row r="7" spans="1:12" x14ac:dyDescent="0.3">
      <c r="A7" s="8">
        <v>6</v>
      </c>
      <c r="B7" s="7" t="s">
        <v>25</v>
      </c>
      <c r="C7" s="7" t="s">
        <v>10</v>
      </c>
      <c r="D7" s="7" t="s">
        <v>16</v>
      </c>
      <c r="E7" s="8">
        <v>31</v>
      </c>
      <c r="F7" s="8">
        <v>41000</v>
      </c>
      <c r="G7" s="8">
        <v>6</v>
      </c>
      <c r="H7" s="7" t="s">
        <v>20</v>
      </c>
      <c r="I7" s="7" t="s">
        <v>21</v>
      </c>
      <c r="J7" s="8">
        <f>COUNTIF('HR analytics dashboard'!$I$2:$I$13,"Yes")</f>
        <v>4</v>
      </c>
      <c r="K7" s="8">
        <f>COUNTA('HR analytics dashboard'!$A$2:$A$13)</f>
        <v>12</v>
      </c>
      <c r="L7" s="10">
        <f>'HR analytics dashboard'!$J7/'HR analytics dashboard'!$K7</f>
        <v>0.33333333333333331</v>
      </c>
    </row>
    <row r="8" spans="1:12" x14ac:dyDescent="0.3">
      <c r="A8" s="6">
        <v>7</v>
      </c>
      <c r="B8" s="5" t="s">
        <v>26</v>
      </c>
      <c r="C8" s="5" t="s">
        <v>23</v>
      </c>
      <c r="D8" s="5" t="s">
        <v>11</v>
      </c>
      <c r="E8" s="6">
        <v>34</v>
      </c>
      <c r="F8" s="6">
        <v>48000</v>
      </c>
      <c r="G8" s="6">
        <v>8</v>
      </c>
      <c r="H8" s="5" t="s">
        <v>12</v>
      </c>
      <c r="I8" s="5" t="s">
        <v>13</v>
      </c>
      <c r="J8" s="6">
        <f>COUNTIF('HR analytics dashboard'!$I$2:$I$13,"Yes")</f>
        <v>4</v>
      </c>
      <c r="K8" s="6">
        <f>COUNTA('HR analytics dashboard'!$A$2:$A$13)</f>
        <v>12</v>
      </c>
      <c r="L8" s="9">
        <f>'HR analytics dashboard'!$J8/'HR analytics dashboard'!$K8</f>
        <v>0.33333333333333331</v>
      </c>
    </row>
    <row r="9" spans="1:12" x14ac:dyDescent="0.3">
      <c r="A9" s="8">
        <v>8</v>
      </c>
      <c r="B9" s="7" t="s">
        <v>27</v>
      </c>
      <c r="C9" s="7" t="s">
        <v>15</v>
      </c>
      <c r="D9" s="7" t="s">
        <v>16</v>
      </c>
      <c r="E9" s="8">
        <v>27</v>
      </c>
      <c r="F9" s="8">
        <v>39000</v>
      </c>
      <c r="G9" s="8">
        <v>2</v>
      </c>
      <c r="H9" s="7" t="s">
        <v>12</v>
      </c>
      <c r="I9" s="7" t="s">
        <v>21</v>
      </c>
      <c r="J9" s="8">
        <f>COUNTIF('HR analytics dashboard'!$I$2:$I$13,"Yes")</f>
        <v>4</v>
      </c>
      <c r="K9" s="8">
        <f>COUNTA('HR analytics dashboard'!$A$2:$A$13)</f>
        <v>12</v>
      </c>
      <c r="L9" s="10">
        <f>'HR analytics dashboard'!$J9/'HR analytics dashboard'!$K9</f>
        <v>0.33333333333333331</v>
      </c>
    </row>
    <row r="10" spans="1:12" x14ac:dyDescent="0.3">
      <c r="A10" s="6">
        <v>9</v>
      </c>
      <c r="B10" s="5" t="s">
        <v>28</v>
      </c>
      <c r="C10" s="5" t="s">
        <v>19</v>
      </c>
      <c r="D10" s="5" t="s">
        <v>11</v>
      </c>
      <c r="E10" s="6">
        <v>30</v>
      </c>
      <c r="F10" s="6">
        <v>46000</v>
      </c>
      <c r="G10" s="6">
        <v>5</v>
      </c>
      <c r="H10" s="5" t="s">
        <v>17</v>
      </c>
      <c r="I10" s="5" t="s">
        <v>13</v>
      </c>
      <c r="J10" s="6">
        <f>COUNTIF('HR analytics dashboard'!$I$2:$I$13,"Yes")</f>
        <v>4</v>
      </c>
      <c r="K10" s="6">
        <f>COUNTA('HR analytics dashboard'!$A$2:$A$13)</f>
        <v>12</v>
      </c>
      <c r="L10" s="9">
        <f>'HR analytics dashboard'!$J10/'HR analytics dashboard'!$K10</f>
        <v>0.33333333333333331</v>
      </c>
    </row>
    <row r="11" spans="1:12" x14ac:dyDescent="0.3">
      <c r="A11" s="8">
        <v>10</v>
      </c>
      <c r="B11" s="7" t="s">
        <v>29</v>
      </c>
      <c r="C11" s="7" t="s">
        <v>10</v>
      </c>
      <c r="D11" s="7" t="s">
        <v>16</v>
      </c>
      <c r="E11" s="8">
        <v>33</v>
      </c>
      <c r="F11" s="8">
        <v>47000</v>
      </c>
      <c r="G11" s="8">
        <v>6</v>
      </c>
      <c r="H11" s="7" t="s">
        <v>12</v>
      </c>
      <c r="I11" s="7" t="s">
        <v>13</v>
      </c>
      <c r="J11" s="8">
        <f>COUNTIF('HR analytics dashboard'!$I$2:$I$13,"Yes")</f>
        <v>4</v>
      </c>
      <c r="K11" s="8">
        <f>COUNTA('HR analytics dashboard'!$A$2:$A$13)</f>
        <v>12</v>
      </c>
      <c r="L11" s="10">
        <f>'HR analytics dashboard'!$J11/'HR analytics dashboard'!$K11</f>
        <v>0.33333333333333331</v>
      </c>
    </row>
    <row r="12" spans="1:12" x14ac:dyDescent="0.3">
      <c r="A12" s="6">
        <v>11</v>
      </c>
      <c r="B12" s="5" t="s">
        <v>30</v>
      </c>
      <c r="C12" s="5" t="s">
        <v>23</v>
      </c>
      <c r="D12" s="5" t="s">
        <v>11</v>
      </c>
      <c r="E12" s="6">
        <v>36</v>
      </c>
      <c r="F12" s="6">
        <v>52000</v>
      </c>
      <c r="G12" s="6">
        <v>9</v>
      </c>
      <c r="H12" s="5" t="s">
        <v>17</v>
      </c>
      <c r="I12" s="5" t="s">
        <v>13</v>
      </c>
      <c r="J12" s="6">
        <f>COUNTIF('HR analytics dashboard'!$I$2:$I$13,"Yes")</f>
        <v>4</v>
      </c>
      <c r="K12" s="6">
        <f>COUNTA('HR analytics dashboard'!$A$2:$A$13)</f>
        <v>12</v>
      </c>
      <c r="L12" s="9">
        <f>'HR analytics dashboard'!$J12/'HR analytics dashboard'!$K12</f>
        <v>0.33333333333333331</v>
      </c>
    </row>
    <row r="13" spans="1:12" x14ac:dyDescent="0.3">
      <c r="A13" s="8">
        <v>12</v>
      </c>
      <c r="B13" s="7" t="s">
        <v>31</v>
      </c>
      <c r="C13" s="7" t="s">
        <v>15</v>
      </c>
      <c r="D13" s="7" t="s">
        <v>16</v>
      </c>
      <c r="E13" s="8">
        <v>28</v>
      </c>
      <c r="F13" s="8">
        <v>40000</v>
      </c>
      <c r="G13" s="8">
        <v>3</v>
      </c>
      <c r="H13" s="7" t="s">
        <v>20</v>
      </c>
      <c r="I13" s="7" t="s">
        <v>21</v>
      </c>
      <c r="J13" s="8">
        <f>COUNTIF('HR analytics dashboard'!$I$2:$I$13,"Yes")</f>
        <v>4</v>
      </c>
      <c r="K13" s="8">
        <f>COUNTA('HR analytics dashboard'!$A$2:$A$13)</f>
        <v>12</v>
      </c>
      <c r="L13" s="10">
        <f>'HR analytics dashboard'!$J13/'HR analytics dashboard'!$K13</f>
        <v>0.33333333333333331</v>
      </c>
    </row>
    <row r="16" spans="1:12" x14ac:dyDescent="0.3">
      <c r="A16" t="s">
        <v>34</v>
      </c>
      <c r="C16" t="s">
        <v>35</v>
      </c>
      <c r="E16" t="s">
        <v>40</v>
      </c>
      <c r="G16" t="s">
        <v>41</v>
      </c>
    </row>
    <row r="17" spans="1:13" x14ac:dyDescent="0.3">
      <c r="A17" s="1">
        <v>12</v>
      </c>
      <c r="C17" s="13">
        <v>44000</v>
      </c>
      <c r="E17" s="1">
        <v>4</v>
      </c>
      <c r="G17" s="12">
        <v>0.33333333333333331</v>
      </c>
    </row>
    <row r="19" spans="1:13" x14ac:dyDescent="0.3">
      <c r="A19">
        <f>GETPIVOTDATA("Name",$A$16)</f>
        <v>12</v>
      </c>
      <c r="C19" s="14">
        <f>GETPIVOTDATA("Salary",$C$16)</f>
        <v>44000</v>
      </c>
      <c r="E19">
        <f>GETPIVOTDATA("countif",$E$16)</f>
        <v>4</v>
      </c>
      <c r="G19" s="4">
        <f>GETPIVOTDATA("attrition rate%",$G$16)</f>
        <v>0.33333333333333331</v>
      </c>
    </row>
    <row r="21" spans="1:13" x14ac:dyDescent="0.3">
      <c r="G21" s="2" t="s">
        <v>8</v>
      </c>
      <c r="H21" t="s">
        <v>21</v>
      </c>
    </row>
    <row r="22" spans="1:13" x14ac:dyDescent="0.3">
      <c r="A22" s="2" t="s">
        <v>32</v>
      </c>
      <c r="B22" t="s">
        <v>34</v>
      </c>
      <c r="G22" t="s">
        <v>42</v>
      </c>
    </row>
    <row r="23" spans="1:13" x14ac:dyDescent="0.3">
      <c r="A23" s="3" t="s">
        <v>23</v>
      </c>
      <c r="B23" s="1">
        <v>3</v>
      </c>
      <c r="G23" s="2" t="s">
        <v>32</v>
      </c>
      <c r="H23" t="s">
        <v>36</v>
      </c>
    </row>
    <row r="24" spans="1:13" x14ac:dyDescent="0.3">
      <c r="A24" s="3" t="s">
        <v>15</v>
      </c>
      <c r="B24" s="1">
        <v>3</v>
      </c>
      <c r="G24" s="3" t="s">
        <v>15</v>
      </c>
      <c r="H24" s="1">
        <v>2</v>
      </c>
    </row>
    <row r="25" spans="1:13" x14ac:dyDescent="0.3">
      <c r="A25" s="3" t="s">
        <v>19</v>
      </c>
      <c r="B25" s="1">
        <v>3</v>
      </c>
      <c r="G25" s="3" t="s">
        <v>19</v>
      </c>
      <c r="H25" s="1">
        <v>1</v>
      </c>
    </row>
    <row r="26" spans="1:13" x14ac:dyDescent="0.3">
      <c r="A26" s="3" t="s">
        <v>10</v>
      </c>
      <c r="B26" s="1">
        <v>3</v>
      </c>
      <c r="G26" s="3" t="s">
        <v>10</v>
      </c>
      <c r="H26" s="1">
        <v>1</v>
      </c>
    </row>
    <row r="27" spans="1:13" x14ac:dyDescent="0.3">
      <c r="A27" s="3" t="s">
        <v>33</v>
      </c>
      <c r="B27" s="1">
        <v>12</v>
      </c>
      <c r="G27" s="3" t="s">
        <v>33</v>
      </c>
      <c r="H27" s="1">
        <v>4</v>
      </c>
      <c r="L27" t="s">
        <v>44</v>
      </c>
    </row>
    <row r="29" spans="1:13" x14ac:dyDescent="0.3">
      <c r="L29" s="2" t="s">
        <v>32</v>
      </c>
      <c r="M29" t="s">
        <v>35</v>
      </c>
    </row>
    <row r="30" spans="1:13" x14ac:dyDescent="0.3">
      <c r="D30" s="2" t="s">
        <v>8</v>
      </c>
      <c r="E30" t="s">
        <v>21</v>
      </c>
      <c r="G30" s="2" t="s">
        <v>32</v>
      </c>
      <c r="H30" t="s">
        <v>43</v>
      </c>
      <c r="L30" s="3" t="s">
        <v>23</v>
      </c>
      <c r="M30" s="1">
        <v>50000</v>
      </c>
    </row>
    <row r="31" spans="1:13" x14ac:dyDescent="0.3">
      <c r="D31" t="s">
        <v>47</v>
      </c>
      <c r="G31" s="3" t="s">
        <v>16</v>
      </c>
      <c r="H31" s="1">
        <v>6</v>
      </c>
      <c r="L31" s="3" t="s">
        <v>15</v>
      </c>
      <c r="M31" s="1">
        <v>41333.333333333336</v>
      </c>
    </row>
    <row r="32" spans="1:13" x14ac:dyDescent="0.3">
      <c r="A32" t="s">
        <v>45</v>
      </c>
      <c r="D32" s="2" t="s">
        <v>32</v>
      </c>
      <c r="E32" t="s">
        <v>36</v>
      </c>
      <c r="G32" s="3" t="s">
        <v>11</v>
      </c>
      <c r="H32" s="1">
        <v>6</v>
      </c>
      <c r="L32" s="3" t="s">
        <v>19</v>
      </c>
      <c r="M32" s="1">
        <v>42000</v>
      </c>
    </row>
    <row r="33" spans="1:13" x14ac:dyDescent="0.3">
      <c r="A33" s="2" t="s">
        <v>32</v>
      </c>
      <c r="B33" t="s">
        <v>46</v>
      </c>
      <c r="D33" s="3" t="s">
        <v>15</v>
      </c>
      <c r="E33" s="1">
        <v>2</v>
      </c>
      <c r="G33" s="3" t="s">
        <v>33</v>
      </c>
      <c r="H33" s="1">
        <v>12</v>
      </c>
      <c r="L33" s="3" t="s">
        <v>10</v>
      </c>
      <c r="M33" s="1">
        <v>42666.666666666664</v>
      </c>
    </row>
    <row r="34" spans="1:13" x14ac:dyDescent="0.3">
      <c r="A34" s="3" t="s">
        <v>20</v>
      </c>
      <c r="B34" s="1">
        <v>3</v>
      </c>
      <c r="D34" s="3" t="s">
        <v>19</v>
      </c>
      <c r="E34" s="1">
        <v>1</v>
      </c>
      <c r="L34" s="3" t="s">
        <v>33</v>
      </c>
      <c r="M34" s="1">
        <v>44000</v>
      </c>
    </row>
    <row r="35" spans="1:13" x14ac:dyDescent="0.3">
      <c r="A35" s="3" t="s">
        <v>17</v>
      </c>
      <c r="B35" s="1">
        <v>4</v>
      </c>
      <c r="D35" s="3" t="s">
        <v>10</v>
      </c>
      <c r="E35" s="1">
        <v>1</v>
      </c>
    </row>
    <row r="36" spans="1:13" x14ac:dyDescent="0.3">
      <c r="A36" s="3" t="s">
        <v>12</v>
      </c>
      <c r="B36" s="1">
        <v>5</v>
      </c>
      <c r="D36" s="3" t="s">
        <v>33</v>
      </c>
      <c r="E36" s="1">
        <v>4</v>
      </c>
    </row>
    <row r="37" spans="1:13" x14ac:dyDescent="0.3">
      <c r="A37" s="3" t="s">
        <v>33</v>
      </c>
      <c r="B37" s="1">
        <v>12</v>
      </c>
    </row>
    <row r="39" spans="1:13" x14ac:dyDescent="0.3">
      <c r="D39" s="3" t="s">
        <v>48</v>
      </c>
    </row>
    <row r="40" spans="1:13" x14ac:dyDescent="0.3">
      <c r="D40" s="2" t="s">
        <v>50</v>
      </c>
      <c r="E40" s="2" t="s">
        <v>49</v>
      </c>
    </row>
    <row r="41" spans="1:13" x14ac:dyDescent="0.3">
      <c r="D41" s="2" t="s">
        <v>32</v>
      </c>
      <c r="E41" t="s">
        <v>13</v>
      </c>
      <c r="F41" t="s">
        <v>21</v>
      </c>
      <c r="G41" t="s">
        <v>33</v>
      </c>
    </row>
    <row r="42" spans="1:13" x14ac:dyDescent="0.3">
      <c r="D42" s="3" t="s">
        <v>20</v>
      </c>
      <c r="E42" s="1"/>
      <c r="F42" s="1">
        <v>3</v>
      </c>
      <c r="G42" s="1">
        <v>3</v>
      </c>
    </row>
    <row r="43" spans="1:13" x14ac:dyDescent="0.3">
      <c r="D43" s="3" t="s">
        <v>17</v>
      </c>
      <c r="E43" s="1">
        <v>4</v>
      </c>
      <c r="F43" s="1"/>
      <c r="G43" s="1">
        <v>4</v>
      </c>
    </row>
    <row r="44" spans="1:13" x14ac:dyDescent="0.3">
      <c r="D44" s="3" t="s">
        <v>12</v>
      </c>
      <c r="E44" s="1">
        <v>4</v>
      </c>
      <c r="F44" s="1">
        <v>1</v>
      </c>
      <c r="G44" s="1">
        <v>5</v>
      </c>
    </row>
    <row r="45" spans="1:13" x14ac:dyDescent="0.3">
      <c r="D45" s="3" t="s">
        <v>33</v>
      </c>
      <c r="E45" s="1">
        <v>8</v>
      </c>
      <c r="F45" s="1">
        <v>4</v>
      </c>
      <c r="G45" s="1">
        <v>12</v>
      </c>
    </row>
    <row r="48" spans="1:13" x14ac:dyDescent="0.3">
      <c r="A48" s="2" t="s">
        <v>32</v>
      </c>
      <c r="C48" s="2" t="s">
        <v>32</v>
      </c>
      <c r="E48" s="2" t="s">
        <v>32</v>
      </c>
    </row>
    <row r="49" spans="1:5" x14ac:dyDescent="0.3">
      <c r="A49" s="3" t="s">
        <v>23</v>
      </c>
      <c r="C49" s="3" t="s">
        <v>16</v>
      </c>
      <c r="E49" s="3" t="s">
        <v>20</v>
      </c>
    </row>
    <row r="50" spans="1:5" x14ac:dyDescent="0.3">
      <c r="A50" s="3" t="s">
        <v>15</v>
      </c>
      <c r="C50" s="3" t="s">
        <v>11</v>
      </c>
      <c r="E50" s="3" t="s">
        <v>17</v>
      </c>
    </row>
    <row r="51" spans="1:5" x14ac:dyDescent="0.3">
      <c r="A51" s="3" t="s">
        <v>19</v>
      </c>
      <c r="C51" s="3" t="s">
        <v>33</v>
      </c>
      <c r="E51" s="3" t="s">
        <v>12</v>
      </c>
    </row>
    <row r="52" spans="1:5" x14ac:dyDescent="0.3">
      <c r="A52" s="3" t="s">
        <v>10</v>
      </c>
      <c r="E52" s="3" t="s">
        <v>33</v>
      </c>
    </row>
    <row r="53" spans="1:5" x14ac:dyDescent="0.3">
      <c r="A53" s="3" t="s">
        <v>33</v>
      </c>
    </row>
  </sheetData>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5E58-513A-4EB8-A4C1-04DBD67FC3D8}">
  <dimension ref="A1"/>
  <sheetViews>
    <sheetView tabSelected="1" topLeftCell="A24" zoomScale="102" zoomScaleNormal="100" workbookViewId="0">
      <selection activeCell="J46" sqref="J4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16B494-82A8-43A5-81CE-CC5A8034D1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 analytics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25B11CS585</dc:creator>
  <cp:lastModifiedBy>25B11CS585</cp:lastModifiedBy>
  <dcterms:created xsi:type="dcterms:W3CDTF">2026-04-22T16:25:37Z</dcterms:created>
  <dcterms:modified xsi:type="dcterms:W3CDTF">2026-04-27T14:30:36Z</dcterms:modified>
</cp:coreProperties>
</file>